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emito-my.sharepoint.com/personal/prasad_chemito_net/Documents/Chemito Main/Project Management/"/>
    </mc:Choice>
  </mc:AlternateContent>
  <xr:revisionPtr revIDLastSave="0" documentId="8_{1B2BEED1-A902-E14C-AF56-F9D0D9A406DD}" xr6:coauthVersionLast="47" xr6:coauthVersionMax="47" xr10:uidLastSave="{00000000-0000-0000-0000-000000000000}"/>
  <bookViews>
    <workbookView xWindow="0" yWindow="760" windowWidth="25820" windowHeight="15160" xr2:uid="{8069CA09-C90D-4449-8BE8-6FA4024A1AAD}"/>
  </bookViews>
  <sheets>
    <sheet name="Orders &amp; Deliveries" sheetId="14" r:id="rId1"/>
    <sheet name="Prospects 25-26 Sales" sheetId="15" r:id="rId2"/>
    <sheet name="For Production Planning0702026" sheetId="20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___________DEF1">#REF!</definedName>
    <definedName name="______________DEF2">#REF!</definedName>
    <definedName name="______________SE1">#REF!</definedName>
    <definedName name="______________SET1">#REF!</definedName>
    <definedName name="______________SET2">#REF!</definedName>
    <definedName name="______________SET21">#REF!</definedName>
    <definedName name="______________TB2">'[1]SPT vs PHI'!$B$2:$C$65</definedName>
    <definedName name="_____________DEF1">#REF!</definedName>
    <definedName name="_____________DEF2">#REF!</definedName>
    <definedName name="_____________SE1">#REF!</definedName>
    <definedName name="_____________SET1">#REF!</definedName>
    <definedName name="_____________SET2">#REF!</definedName>
    <definedName name="_____________SET21">#REF!</definedName>
    <definedName name="_____________TB2">'[1]SPT vs PHI'!$B$2:$C$65</definedName>
    <definedName name="____________DEF1">#REF!</definedName>
    <definedName name="____________DEF2">#REF!</definedName>
    <definedName name="____________SE1">#REF!</definedName>
    <definedName name="____________SET1">#REF!</definedName>
    <definedName name="____________SET2">#REF!</definedName>
    <definedName name="____________SET21">#REF!</definedName>
    <definedName name="____________TB2">'[1]SPT vs PHI'!$B$2:$C$65</definedName>
    <definedName name="___________DEF1">#REF!</definedName>
    <definedName name="___________DEF2">#REF!</definedName>
    <definedName name="___________SE1">#REF!</definedName>
    <definedName name="___________SET1">#REF!</definedName>
    <definedName name="___________SET2">#REF!</definedName>
    <definedName name="___________SET21">#REF!</definedName>
    <definedName name="___________TB2">'[1]SPT vs PHI'!$B$2:$C$65</definedName>
    <definedName name="__________DEF1">#REF!</definedName>
    <definedName name="__________DEF2">#REF!</definedName>
    <definedName name="__________SE1">#REF!</definedName>
    <definedName name="__________SET1">#REF!</definedName>
    <definedName name="__________SET2">#REF!</definedName>
    <definedName name="__________SET21">#REF!</definedName>
    <definedName name="__________TB2">'[1]SPT vs PHI'!$B$2:$C$65</definedName>
    <definedName name="_________DEF1">#REF!</definedName>
    <definedName name="_________DEF2">#REF!</definedName>
    <definedName name="_________SE1">#REF!</definedName>
    <definedName name="_________SET1">#REF!</definedName>
    <definedName name="_________SET2">#REF!</definedName>
    <definedName name="_________SET21">#REF!</definedName>
    <definedName name="_________TB2">'[1]SPT vs PHI'!$B$2:$C$65</definedName>
    <definedName name="________DEF1">#REF!</definedName>
    <definedName name="________DEF2">#REF!</definedName>
    <definedName name="________SE1">#REF!</definedName>
    <definedName name="________SET1">#REF!</definedName>
    <definedName name="________SET2">#REF!</definedName>
    <definedName name="________SET21">#REF!</definedName>
    <definedName name="________TB2">'[1]SPT vs PHI'!$B$2:$C$65</definedName>
    <definedName name="_______DEF1">#REF!</definedName>
    <definedName name="_______DEF2">#REF!</definedName>
    <definedName name="_______RL2">#REF!</definedName>
    <definedName name="_______SE1">#REF!</definedName>
    <definedName name="_______SET1">#REF!</definedName>
    <definedName name="_______SET2">#REF!</definedName>
    <definedName name="_______SET21">#REF!</definedName>
    <definedName name="_______SI1">#REF!</definedName>
    <definedName name="_______TB2">'[1]SPT vs PHI'!$B$2:$C$65</definedName>
    <definedName name="______DEF1">#REF!</definedName>
    <definedName name="______DEF2">#REF!</definedName>
    <definedName name="______SE1">#REF!</definedName>
    <definedName name="______SET1">#REF!</definedName>
    <definedName name="______SET2">#REF!</definedName>
    <definedName name="______SET21">#REF!</definedName>
    <definedName name="______TB2">'[1]SPT vs PHI'!$B$2:$C$65</definedName>
    <definedName name="_____DEF1">#REF!</definedName>
    <definedName name="_____DEF2">#REF!</definedName>
    <definedName name="_____del1">#REF!</definedName>
    <definedName name="_____Ki1">#REF!</definedName>
    <definedName name="_____Ki2">#REF!</definedName>
    <definedName name="_____RL2">#REF!</definedName>
    <definedName name="_____SE1">#REF!</definedName>
    <definedName name="_____SET1">#REF!</definedName>
    <definedName name="_____SET2">#REF!</definedName>
    <definedName name="_____SET21">#REF!</definedName>
    <definedName name="_____SI1">#REF!</definedName>
    <definedName name="_____TB2">'[1]SPT vs PHI'!$B$2:$C$65</definedName>
    <definedName name="_____Tk1">#REF!</definedName>
    <definedName name="_____Tkl1">#REF!</definedName>
    <definedName name="____DEF1">"$#REF!.$X$3:$Y$10"</definedName>
    <definedName name="____DEF2">"$#REF!.$AA$3:$AF$10"</definedName>
    <definedName name="____del1">#REF!</definedName>
    <definedName name="____Ki1">#REF!</definedName>
    <definedName name="____Ki2">#REF!</definedName>
    <definedName name="____SE1">"$#REF!.$E$3:$F$19"</definedName>
    <definedName name="____SET1">"$#REF!.$E$3:$F$10"</definedName>
    <definedName name="____SET2">"$#REF!.$G$3:$L$41"</definedName>
    <definedName name="____SET21">"$#REF!.$G$3:$L$41"</definedName>
    <definedName name="____TB2">#REF!</definedName>
    <definedName name="____Tk1">#REF!</definedName>
    <definedName name="____Tkl1">#REF!</definedName>
    <definedName name="___DEF1">#REF!</definedName>
    <definedName name="___DEF2">#REF!</definedName>
    <definedName name="___del1">"$#REF!.$D$108"</definedName>
    <definedName name="___Ki1">"$#REF!.$C$147"</definedName>
    <definedName name="___Ki2">"$#REF!.$C$162"</definedName>
    <definedName name="___RL2">"$#REF!.$#REF!$#REF!"</definedName>
    <definedName name="___SE1">#REF!</definedName>
    <definedName name="___SET1">#REF!</definedName>
    <definedName name="___SET2">#REF!</definedName>
    <definedName name="___SET21">#REF!</definedName>
    <definedName name="___SI1">"$#REF!.$#REF!$#REF!"</definedName>
    <definedName name="___TB2">'[1]SPT vs PHI'!$B$2:$C$65</definedName>
    <definedName name="___Tk1">"$#REF!.$D$138"</definedName>
    <definedName name="___Tkl1">"$#REF!.$#REF!$36"</definedName>
    <definedName name="__123Graph_X" hidden="1">'[2]STRIP Sizing'!#REF!</definedName>
    <definedName name="__Anonymous_Sheet_DB__1">#REF!</definedName>
    <definedName name="__DEF1">#REF!</definedName>
    <definedName name="__DEF2">#REF!</definedName>
    <definedName name="__del1">"$#REF!.$D$108"</definedName>
    <definedName name="__Ki1">"$#REF!.$C$147"</definedName>
    <definedName name="__Ki2">"$#REF!.$C$162"</definedName>
    <definedName name="__RL2">"$#REF!.$#REF!$#REF!"</definedName>
    <definedName name="__SE1">#REF!</definedName>
    <definedName name="__SET1">#REF!</definedName>
    <definedName name="__SET2">#REF!</definedName>
    <definedName name="__SET21">#REF!</definedName>
    <definedName name="__SI1">"$#REF!.$#REF!$#REF!"</definedName>
    <definedName name="__TB2">'[1]SPT vs PHI'!$B$2:$C$65</definedName>
    <definedName name="__Tk1">"$#REF!.$D$138"</definedName>
    <definedName name="__Tkl1">"$#REF!.$#REF!$36"</definedName>
    <definedName name="_1Excel_BuiltIn_Print_Titles_3_1">[3]PMCC3!$A$1:$M$65501,[3]PMCC3!$A$6:$IV$8</definedName>
    <definedName name="_bbl34">'[4]load data'!$Q$8:$S$41</definedName>
    <definedName name="_c">NA()</definedName>
    <definedName name="_cgl34">'[4]load data'!$AA$8:$AC$41</definedName>
    <definedName name="_d4">'[5]Design basis-C'!$F$11</definedName>
    <definedName name="_DEF1">#REF!</definedName>
    <definedName name="_DEF2">#REF!</definedName>
    <definedName name="_del1">"$#REF!.$D$108"</definedName>
    <definedName name="_df1">#REF!</definedName>
    <definedName name="_df2">#REF!</definedName>
    <definedName name="_df3">#REF!</definedName>
    <definedName name="_df4">#REF!</definedName>
    <definedName name="_df5">#REF!</definedName>
    <definedName name="_df6">#REF!</definedName>
    <definedName name="_df7">#REF!</definedName>
    <definedName name="_df8">#REF!</definedName>
    <definedName name="_doc1">'[5]Design basis-C'!$E$6</definedName>
    <definedName name="_doc4">'[5]Design basis-C'!$E$6</definedName>
    <definedName name="_xlnm._FilterDatabase" localSheetId="2" hidden="1">'For Production Planning0702026'!$A$4:$J$72</definedName>
    <definedName name="_xlnm._FilterDatabase" localSheetId="0" hidden="1">'Orders &amp; Deliveries'!$A$5:$AW$61</definedName>
    <definedName name="_xlnm._FilterDatabase" localSheetId="1" hidden="1">'Prospects 25-26 Sales'!$A$1:$R$46</definedName>
    <definedName name="_h">NA()</definedName>
    <definedName name="_Ki1">"$#REF!.$C$147"</definedName>
    <definedName name="_Ki2">"$#REF!.$C$162"</definedName>
    <definedName name="_mix1">#REF!</definedName>
    <definedName name="_mix2">#REF!</definedName>
    <definedName name="_miy1">#REF!</definedName>
    <definedName name="_miy2">#REF!</definedName>
    <definedName name="_mux1">#REF!</definedName>
    <definedName name="_muy1">#REF!</definedName>
    <definedName name="_p">NA()</definedName>
    <definedName name="_p4">'[5]Design basis-C'!$G$8</definedName>
    <definedName name="_r">NA()</definedName>
    <definedName name="_RL2">"$#REF!.$#REF!$#REF!"</definedName>
    <definedName name="_s">NA()</definedName>
    <definedName name="_SE1">#REF!</definedName>
    <definedName name="_SET1">#REF!</definedName>
    <definedName name="_SET2">#REF!</definedName>
    <definedName name="_SET21">#REF!</definedName>
    <definedName name="_SI1">"$#REF!.$#REF!$#REF!"</definedName>
    <definedName name="_TB2">'[1]SPT vs PHI'!$B$2:$C$65</definedName>
    <definedName name="_Tk1">"$#REF!.$D$138"</definedName>
    <definedName name="_Tkl1">"$#REF!.$#REF!$36"</definedName>
    <definedName name="A">'[6]PRECAST lightconc-II'!$J$19</definedName>
    <definedName name="aamin">"$#REF!.$D$225"</definedName>
    <definedName name="ACTEA">#REF!</definedName>
    <definedName name="ADaasas">#REF!</definedName>
    <definedName name="afb">#REF!</definedName>
    <definedName name="Ag">#REF!</definedName>
    <definedName name="ald">#REF!</definedName>
    <definedName name="alpan">#REF!</definedName>
    <definedName name="alw">#REF!</definedName>
    <definedName name="amin">"$#REF!.$D$191"</definedName>
    <definedName name="amin1">"$#REF!.$D$191"</definedName>
    <definedName name="amin2">"$#REF!.$D$191"</definedName>
    <definedName name="as">"$#REF!.$#REF!$19"</definedName>
    <definedName name="asfsffaf">#REF!</definedName>
    <definedName name="Ast">#REF!</definedName>
    <definedName name="astb">#REF!</definedName>
    <definedName name="Astmin">#REF!</definedName>
    <definedName name="astt">#REF!</definedName>
    <definedName name="atm">#REF!</definedName>
    <definedName name="atm_1">#REF!</definedName>
    <definedName name="atm_2">#REF!</definedName>
    <definedName name="atm_3">"$#REF!.$#REF!$#REF!"</definedName>
    <definedName name="atm_4">#REF!</definedName>
    <definedName name="atm_5">#REF!</definedName>
    <definedName name="atm_6">#REF!</definedName>
    <definedName name="Auftragswert">#REF!</definedName>
    <definedName name="Auxiliary">#REF!</definedName>
    <definedName name="b">#REF!</definedName>
    <definedName name="B1221B0226">#REF!</definedName>
    <definedName name="bbbb">'[5]Design basis-C'!$F$10</definedName>
    <definedName name="bbbbbb">'[5]Design basis-C'!$F$10</definedName>
    <definedName name="bblfull">'[4]load data'!$V$8:$X$41</definedName>
    <definedName name="bc">"$#REF!.$D$117"</definedName>
    <definedName name="bcol">#REF!</definedName>
    <definedName name="bfoot">#REF!</definedName>
    <definedName name="bh">"$#REF!.$D$231"</definedName>
    <definedName name="BMxxi">#REF!</definedName>
    <definedName name="BMxxii">#REF!</definedName>
    <definedName name="BMxxiii">#REF!</definedName>
    <definedName name="BMyyi">#REF!</definedName>
    <definedName name="bol">#REF!</definedName>
    <definedName name="boml">#REF!</definedName>
    <definedName name="botl">#REF!</definedName>
    <definedName name="botn">#REF!</definedName>
    <definedName name="Bph">#REF!</definedName>
    <definedName name="breadth">#REF!</definedName>
    <definedName name="Breaks">#REF!</definedName>
    <definedName name="BSB5_Reinigung_in_BiopurC">[7]BALAN1!#REF!</definedName>
    <definedName name="BSB5_Reinigung_in_BiopurN">[7]BALAN1!#REF!</definedName>
    <definedName name="BSB5Rückläufekg">[7]BALAN1!$E$15</definedName>
    <definedName name="BSB5vorklkg">[7]BALAN1!$F$15</definedName>
    <definedName name="BSB5vorklmg">[7]BALAN1!$F$16</definedName>
    <definedName name="Bsump">#REF!</definedName>
    <definedName name="bua">#REF!</definedName>
    <definedName name="bwfb">#REF!</definedName>
    <definedName name="bwl">#REF!</definedName>
    <definedName name="bwld">#REF!</definedName>
    <definedName name="bww">#REF!</definedName>
    <definedName name="Bx">"$#REF!.$E$26"</definedName>
    <definedName name="CA">#REF!</definedName>
    <definedName name="CA_1">"$#REF!.$I$23"</definedName>
    <definedName name="CA_2">#REF!</definedName>
    <definedName name="CA_3">#REF!</definedName>
    <definedName name="CA_4">#REF!</definedName>
    <definedName name="Cable">#REF!</definedName>
    <definedName name="Cable1">#REF!</definedName>
    <definedName name="calpersteel">#REF!</definedName>
    <definedName name="ccc">"$#REF!.$F$25"</definedName>
    <definedName name="Cd">"$#REF!.$D$227"</definedName>
    <definedName name="cglfull">'[4]load data'!$AF$8:$AH$41</definedName>
    <definedName name="check">'[5]Design basis-C'!$F$8</definedName>
    <definedName name="check1">'[5]Design basis-C'!$F$8</definedName>
    <definedName name="check3">'[5]Design basis-C'!$F$8</definedName>
    <definedName name="checked">#REF!</definedName>
    <definedName name="codecode">#REF!</definedName>
    <definedName name="Columns">#REF!</definedName>
    <definedName name="CONCATENATE">#REF!</definedName>
    <definedName name="cond1">#REF!</definedName>
    <definedName name="cond2">#REF!</definedName>
    <definedName name="cover">#REF!</definedName>
    <definedName name="Cs">"$#REF!.$B$69"</definedName>
    <definedName name="CT1C1LC">#REF!</definedName>
    <definedName name="CT1C1LR">#REF!</definedName>
    <definedName name="CT1C1Rloop">#REF!</definedName>
    <definedName name="CT1C1VAC">#REF!</definedName>
    <definedName name="CT1C1VAM">#REF!</definedName>
    <definedName name="CT1C1VAT">#REF!</definedName>
    <definedName name="CT1C2Lc">#REF!</definedName>
    <definedName name="CT1C2LR">#REF!</definedName>
    <definedName name="CT1C2Rloop">#REF!</definedName>
    <definedName name="CT1C2VAC">#REF!</definedName>
    <definedName name="CT1C2VAM">#REF!</definedName>
    <definedName name="CT1C2VAT">#REF!</definedName>
    <definedName name="CT2C4IN">#REF!</definedName>
    <definedName name="CT2C4RCT">#REF!</definedName>
    <definedName name="CT2C4RL">#REF!</definedName>
    <definedName name="D">#REF!</definedName>
    <definedName name="D_1">#REF!</definedName>
    <definedName name="D_2">#REF!</definedName>
    <definedName name="D_3">#REF!</definedName>
    <definedName name="D_4">#REF!</definedName>
    <definedName name="d_dash">#REF!</definedName>
    <definedName name="Date">#REF!</definedName>
    <definedName name="dbratio">#REF!</definedName>
    <definedName name="dbyb">#REF!</definedName>
    <definedName name="dbyd">#REF!</definedName>
    <definedName name="dc">#REF!</definedName>
    <definedName name="dcol">#REF!</definedName>
    <definedName name="dd">'[5]Design basis-C'!$F$11</definedName>
    <definedName name="ddd">'[5]Design basis-C'!$F$11</definedName>
    <definedName name="dddd">'[5]Design basis-C'!$F$11</definedName>
    <definedName name="de">'[8]Wall W3'!$E$8</definedName>
    <definedName name="DEFF2">#REF!</definedName>
    <definedName name="DEFFF1">#REF!</definedName>
    <definedName name="DEFFF2">#REF!</definedName>
    <definedName name="delk">"$#REF!.$D$186"</definedName>
    <definedName name="delm">"$#REF!.$D$190"</definedName>
    <definedName name="delta">"$#REF!.$D$106"</definedName>
    <definedName name="delta1">"$#REF!.$D$106"</definedName>
    <definedName name="DELTA20">"$#REF!.$C$43"</definedName>
    <definedName name="density">#REF!</definedName>
    <definedName name="depr">#REF!</definedName>
    <definedName name="depr_1">"$#REF!.$I$17"</definedName>
    <definedName name="depr_2">#REF!</definedName>
    <definedName name="depr_3">#REF!</definedName>
    <definedName name="depr_4">#REF!</definedName>
    <definedName name="depth">#REF!</definedName>
    <definedName name="design">'[5]Design basis-C'!$E$8</definedName>
    <definedName name="design2">'[5]Design basis-C'!$E$8</definedName>
    <definedName name="design3">'[5]Design basis-C'!$E$8</definedName>
    <definedName name="designed">#REF!</definedName>
    <definedName name="df">#REF!</definedName>
    <definedName name="dfsdf">"$#REF!.$D$142"</definedName>
    <definedName name="DFSDFSDF">"$#REF!.$#REF!$#REF!"</definedName>
    <definedName name="DFSDFSDFSD">"$#REF!.$#REF!$#REF!"</definedName>
    <definedName name="DFSDV" hidden="1">'[2]STRIP Sizing'!#REF!</definedName>
    <definedName name="dg">#REF!</definedName>
    <definedName name="dia">#REF!</definedName>
    <definedName name="diaties">#REF!</definedName>
    <definedName name="Disrt_TF_2">#REF!</definedName>
    <definedName name="dl">"$#REF!.$E$51"</definedName>
    <definedName name="doc">'[5]Design basis-C'!$E$6</definedName>
    <definedName name="Docno">#REF!</definedName>
    <definedName name="docu">#REF!</definedName>
    <definedName name="dq">#REF!</definedName>
    <definedName name="dratio1">#REF!</definedName>
    <definedName name="Ds">"$#REF!.$E$28"</definedName>
    <definedName name="dwpefb">#REF!</definedName>
    <definedName name="dwpeld">#REF!</definedName>
    <definedName name="dwpelw">#REF!</definedName>
    <definedName name="E">#REF!</definedName>
    <definedName name="E_1">#REF!</definedName>
    <definedName name="E_2">#REF!</definedName>
    <definedName name="E_3">#REF!</definedName>
    <definedName name="E_4">#REF!</definedName>
    <definedName name="eath">#REF!</definedName>
    <definedName name="EE">"$#REF!.$#REF!$#REF!"</definedName>
    <definedName name="Eela">"$#REF!.$D$219"</definedName>
    <definedName name="Effieciens_Sclammabscheidung">[7]BALAN1!$E$50</definedName>
    <definedName name="Effizienz_Abscheidung_Schlammw_inVK">[7]BALAN1!$E$51</definedName>
    <definedName name="efx">#REF!</definedName>
    <definedName name="efy">#REF!</definedName>
    <definedName name="ei">#REF!</definedName>
    <definedName name="eii">#REF!</definedName>
    <definedName name="eiii">#REF!</definedName>
    <definedName name="Em">"$#REF!.$B$109"</definedName>
    <definedName name="Epi">"$#REF!.$D$227"</definedName>
    <definedName name="EQWE">"$#REF!.$#REF!$#REF!"</definedName>
    <definedName name="ERER">"$#REF!.$#REF!$#REF!"</definedName>
    <definedName name="ERTGSDV">"$#REF!.$#REF!$#REF!"</definedName>
    <definedName name="Es">"$#REF!.$B$126"</definedName>
    <definedName name="Est">"$#REF!.$D$223"</definedName>
    <definedName name="Et">"$#REF!.$#REF!$#REF!"</definedName>
    <definedName name="Eta">"$#REF!.$D$91"</definedName>
    <definedName name="Eth">"$#REF!.$D$223"</definedName>
    <definedName name="ex">#REF!</definedName>
    <definedName name="Excel_BuiltIn__FilterDatabase_1_1">#REF!</definedName>
    <definedName name="Excel_BuiltIn__FilterDatabase_16">#REF!</definedName>
    <definedName name="Excel_BuiltIn__FilterDatabase_2">'[9]PLC-1'!#REF!</definedName>
    <definedName name="Excel_BuiltIn__FilterDatabase_2_1">#REF!</definedName>
    <definedName name="Excel_BuiltIn__FilterDatabase_2_1_1">#REF!</definedName>
    <definedName name="Excel_BuiltIn__FilterDatabase_3">'[10]MCC Incomer Sizing'!#REF!</definedName>
    <definedName name="Excel_BuiltIn__FilterDatabase_5">#REF!</definedName>
    <definedName name="Excel_BuiltIn__FilterDatabase_5_1">'[4]MCC IC'!#REF!</definedName>
    <definedName name="Excel_BuiltIn__FilterDatabase_9">'[11]OLD IC'!#REF!</definedName>
    <definedName name="Excel_BuiltIn_Extract">#REF!</definedName>
    <definedName name="Excel_BuiltIn_Print_Area">'[12]Cover sheet'!$A$6:$I$193</definedName>
    <definedName name="Excel_BuiltIn_Print_Area_1_1">#REF!</definedName>
    <definedName name="Excel_BuiltIn_Print_Area_1_1_1">#REF!</definedName>
    <definedName name="Excel_BuiltIn_Print_Area_1_1_1_1">('[13]LCS SCHEDULE '!$A$1:$Q$51,'[13]LCS SCHEDULE '!#REF!)</definedName>
    <definedName name="Excel_BuiltIn_Print_Area_1_1_1_1_1">('[13]LCS SCHEDULE '!$A$1:$Q$51,'[13]LCS SCHEDULE '!#REF!)</definedName>
    <definedName name="Excel_BuiltIn_Print_Area_1_1_1_1_1_1">#REF!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2">#REF!</definedName>
    <definedName name="Excel_BuiltIn_Print_Area_12_1">#REF!</definedName>
    <definedName name="Excel_BuiltIn_Print_Area_12_1_1">#REF!</definedName>
    <definedName name="Excel_BuiltIn_Print_Area_13">#REF!</definedName>
    <definedName name="Excel_BuiltIn_Print_Area_13_1">#REF!</definedName>
    <definedName name="Excel_BuiltIn_Print_Area_14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5">#REF!</definedName>
    <definedName name="Excel_BuiltIn_Print_Area_2_1_6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>#REF!</definedName>
    <definedName name="Excel_BuiltIn_Print_Area_4_1_5">#REF!</definedName>
    <definedName name="Excel_BuiltIn_Print_Area_5">"$#REF!.$A$6:$H$196"</definedName>
    <definedName name="Excel_BuiltIn_Print_Area_5_1">#REF!</definedName>
    <definedName name="Excel_BuiltIn_Print_Area_6_1">#REF!</definedName>
    <definedName name="Excel_BuiltIn_Print_Area_7_1">#REF!</definedName>
    <definedName name="Excel_BuiltIn_Print_Area_8">#REF!</definedName>
    <definedName name="Excel_BuiltIn_Print_Area_8_1">#REF!</definedName>
    <definedName name="Excel_BuiltIn_Print_Area_9">#REF!</definedName>
    <definedName name="Excel_BuiltIn_Print_Area_9_1">#REF!</definedName>
    <definedName name="Excel_BuiltIn_Print_Titles_1">#REF!</definedName>
    <definedName name="Excel_BuiltIn_Print_Titles_1_1">#REF!</definedName>
    <definedName name="Excel_BuiltIn_Print_Titles_2">#REF!</definedName>
    <definedName name="Excel_BuiltIn_Print_Titles_2_1">#REF!</definedName>
    <definedName name="Excel_BuiltIn_Print_Titles_3">[3]PMCC3!$A$1:$M$65535,[3]PMCC3!$A$6:$IV$8</definedName>
    <definedName name="Excel_BuiltIn_Print_Titles_3_1">'[13]LCS SCHEDULE '!#REF!</definedName>
    <definedName name="Excel_BuiltIn_Print_Titles_4">#REF!</definedName>
    <definedName name="Excel_BuiltIn_Print_Titles_5">#REF!</definedName>
    <definedName name="EXIT">#REF!</definedName>
    <definedName name="_xlnm.Extract">#REF!</definedName>
    <definedName name="ey">#REF!</definedName>
    <definedName name="F">"$#REF!.$D$59"</definedName>
    <definedName name="fc">#REF!</definedName>
    <definedName name="fck">#REF!</definedName>
    <definedName name="fckfck">#REF!</definedName>
    <definedName name="Fe_kg_BiopurN">[7]BALAN1!$J$28</definedName>
    <definedName name="Fe_kg_Vorfällung">[7]BALAN1!$F$28</definedName>
    <definedName name="Ff">"$#REF!.$D$192"</definedName>
    <definedName name="FGFGFG">"$#REF!.$#REF!$#REF!"</definedName>
    <definedName name="FGFGFGFGGG">"$#REF!.$#REF!$#REF!"</definedName>
    <definedName name="FGFGGFGFG">"$#REF!.$#REF!$#REF!"</definedName>
    <definedName name="FGL">#REF!</definedName>
    <definedName name="fid">#REF!</definedName>
    <definedName name="fifb">#REF!</definedName>
    <definedName name="fil">#REF!</definedName>
    <definedName name="fiw">#REF!</definedName>
    <definedName name="fl">#REF!</definedName>
    <definedName name="fld">#REF!</definedName>
    <definedName name="flg">#REF!</definedName>
    <definedName name="flg_1">"$#REF!.$I$45"</definedName>
    <definedName name="flg_2">#REF!</definedName>
    <definedName name="flg_3">#REF!</definedName>
    <definedName name="flg_4">#REF!</definedName>
    <definedName name="fm">#REF!</definedName>
    <definedName name="fmld">#REF!</definedName>
    <definedName name="Fpi">"$#REF!.$D$271"</definedName>
    <definedName name="fsdfs">"$#REF!.$D$145"</definedName>
    <definedName name="Fst">"$#REF!.$#REF!$23"</definedName>
    <definedName name="fsteel">#REF!</definedName>
    <definedName name="Ft">"$#REF!.$D$160"</definedName>
    <definedName name="Fv">"$#REF!.$D$217"</definedName>
    <definedName name="fw">#REF!</definedName>
    <definedName name="fwfb">#REF!</definedName>
    <definedName name="fwl">#REF!</definedName>
    <definedName name="fwld">#REF!</definedName>
    <definedName name="fwrfb">#REF!</definedName>
    <definedName name="fwrfb_1">#REF!</definedName>
    <definedName name="fwrl">#REF!</definedName>
    <definedName name="fwrl_1">#REF!</definedName>
    <definedName name="fwrld">#REF!</definedName>
    <definedName name="fwrld_1">#REF!</definedName>
    <definedName name="fwrw">#REF!</definedName>
    <definedName name="fwrw_1">#REF!</definedName>
    <definedName name="fwsfb">#REF!</definedName>
    <definedName name="fwsfb_1">#REF!</definedName>
    <definedName name="fwsl">#REF!</definedName>
    <definedName name="fwsl_1">#REF!</definedName>
    <definedName name="fwsld">#REF!</definedName>
    <definedName name="fwsld_1">#REF!</definedName>
    <definedName name="fwsw">#REF!</definedName>
    <definedName name="fwsw_1">#REF!</definedName>
    <definedName name="fww">#REF!</definedName>
    <definedName name="fy">#REF!</definedName>
    <definedName name="fyfy">#REF!</definedName>
    <definedName name="fysteel">#REF!</definedName>
    <definedName name="G">#REF!</definedName>
    <definedName name="g_1">"$#REF!.$F$6"</definedName>
    <definedName name="G_2">#REF!</definedName>
    <definedName name="G_3">#REF!</definedName>
    <definedName name="G_4">#REF!</definedName>
    <definedName name="Gap_analysis_U400_compliance_status">#REF!</definedName>
    <definedName name="Geschäftsbereich">#REF!</definedName>
    <definedName name="GFGF">"$#REF!.$#REF!$#REF!"</definedName>
    <definedName name="GGGG">"$#REF!.$#REF!$#REF!"</definedName>
    <definedName name="gggsdg">#REF!</definedName>
    <definedName name="gn">"$#REF!.$#REF!$37"</definedName>
    <definedName name="gs">#REF!</definedName>
    <definedName name="H">#REF!</definedName>
    <definedName name="H_1">"$#REF!.$I$37"</definedName>
    <definedName name="H_2">#REF!</definedName>
    <definedName name="H_3">#REF!</definedName>
    <definedName name="H_4">#REF!</definedName>
    <definedName name="H0">"$#REF!.$B$97"</definedName>
    <definedName name="hc">#REF!</definedName>
    <definedName name="hf">#REF!</definedName>
    <definedName name="hh">"$#REF!.$F$169"</definedName>
    <definedName name="hidecolumns">#REF!,#REF!,#REF!,#REF!,#REF!,#REF!,#REF!,#REF!,#REF!,#REF!,#REF!,#REF!,#REF!,#REF!,#REF!,#REF!,#REF!,#REF!,#REF!</definedName>
    <definedName name="hidecolumns2">#REF!,#REF!,#REF!,#REF!,#REF!,#REF!,#REF!,#REF!,#REF!,#REF!,#REF!,#REF!,#REF!,#REF!,#REF!,#REF!,#REF!,#REF!</definedName>
    <definedName name="HJGHJGHJ">"$#REF!.$#REF!$#REF!"</definedName>
    <definedName name="ho">"$#REF!.$B$97"</definedName>
    <definedName name="hS">"$#REF!.$E$43"</definedName>
    <definedName name="ht">[14]Design!#REF!</definedName>
    <definedName name="hw">#REF!</definedName>
    <definedName name="hwt">#REF!</definedName>
    <definedName name="Hz">"$#REF!.$#REF!$41"</definedName>
    <definedName name="I">"$#REF!.$C$35"</definedName>
    <definedName name="ifif">#REF!</definedName>
    <definedName name="Ig">"$#REF!.$E$18"</definedName>
    <definedName name="Ik">"$#REF!.$#REF!$35"</definedName>
    <definedName name="interb">#REF!</definedName>
    <definedName name="intert">#REF!</definedName>
    <definedName name="j">"$#REF!.$D$231"</definedName>
    <definedName name="JobID">#REF!</definedName>
    <definedName name="K">#REF!</definedName>
    <definedName name="K_1">#REF!</definedName>
    <definedName name="k1_table">#REF!</definedName>
    <definedName name="k1fact">#REF!</definedName>
    <definedName name="k1x">#REF!</definedName>
    <definedName name="k1y">#REF!</definedName>
    <definedName name="k2x">#REF!</definedName>
    <definedName name="k2y">#REF!</definedName>
    <definedName name="ka">#REF!</definedName>
    <definedName name="kfac11">#REF!</definedName>
    <definedName name="kfac22">#REF!</definedName>
    <definedName name="Kh">"$#REF!.$D$99"</definedName>
    <definedName name="Ki">"$#REF!.$B$105"</definedName>
    <definedName name="Kii">"$#REF!.$B$93"</definedName>
    <definedName name="Kis">"$#REF!.$B$122"</definedName>
    <definedName name="Km">"$#REF!.$B$102"</definedName>
    <definedName name="Konsortialanteil">#REF!</definedName>
    <definedName name="Ks">"$#REF!.$#REF!$124"</definedName>
    <definedName name="kx">#REF!</definedName>
    <definedName name="kxb">#REF!</definedName>
    <definedName name="kxt">#REF!</definedName>
    <definedName name="ky">#REF!</definedName>
    <definedName name="kyb">#REF!</definedName>
    <definedName name="kyt">#REF!</definedName>
    <definedName name="L">#REF!</definedName>
    <definedName name="L_1">#REF!</definedName>
    <definedName name="L_Face">#REF!</definedName>
    <definedName name="lamda">"$#REF!.$D$188"</definedName>
    <definedName name="Lc">"$#REF!.$E$37"</definedName>
    <definedName name="LCS">(#REF!,#REF!,#REF!,#REF!,#REF!,#REF!,#REF!,#REF!,#REF!,#REF!,#REF!,#REF!,#REF!,#REF!,#REF!,#REF!,#REF!,#REF!,#REF!,#REF!,#REF!,#REF!)</definedName>
    <definedName name="LCS_1">('[13]LCS SCHEDULE '!$E$9:$E$17,'[13]LCS SCHEDULE '!$E$18:$E$39,'[13]LCS SCHEDULE '!#REF!,'[13]LCS SCHEDULE '!#REF!,'[13]LCS SCHEDULE '!#REF!,'[13]LCS SCHEDULE '!#REF!,'[13]LCS SCHEDULE '!#REF!,'[13]LCS SCHEDULE '!#REF!,'[13]LCS SCHEDULE '!#REF!,'[13]LCS SCHEDULE '!#REF!,'[13]LCS SCHEDULE '!#REF!,'[13]LCS SCHEDULE '!#REF!,'[13]LCS SCHEDULE '!#REF!,'[13]LCS SCHEDULE '!#REF!,'[13]LCS SCHEDULE '!#REF!,'[13]LCS SCHEDULE '!#REF!,'[13]LCS SCHEDULE '!#REF!,'[13]LCS SCHEDULE '!#REF!,'[13]LCS SCHEDULE '!#REF!,'[13]LCS SCHEDULE '!$E$9,'[13]LCS SCHEDULE '!$E$9,'[13]LCS SCHEDULE '!$E$9)</definedName>
    <definedName name="least">#REF!</definedName>
    <definedName name="lef">#REF!</definedName>
    <definedName name="lel">#REF!</definedName>
    <definedName name="level">#REF!</definedName>
    <definedName name="lex">#REF!</definedName>
    <definedName name="ley">#REF!</definedName>
    <definedName name="LF">(#REF!,#REF!,#REF!,#REF!,#REF!,#REF!,#REF!,#REF!,#REF!)</definedName>
    <definedName name="LF_3">(#REF!,#REF!,#REF!,#REF!,#REF!,#REF!,#REF!,#REF!,#REF!)</definedName>
    <definedName name="lfb">#REF!</definedName>
    <definedName name="lfoot">#REF!</definedName>
    <definedName name="li">"$#REF!.$#REF!$31"</definedName>
    <definedName name="lld">#REF!</definedName>
    <definedName name="llw">#REF!</definedName>
    <definedName name="loc">#REF!</definedName>
    <definedName name="longdia">#REF!</definedName>
    <definedName name="Lph">#REF!</definedName>
    <definedName name="Lr">"$#REF!.$E$49"</definedName>
    <definedName name="ls">"$#REF!.$#REF!$47"</definedName>
    <definedName name="Lsump">#REF!</definedName>
    <definedName name="lx">#REF!</definedName>
    <definedName name="lxx">#REF!</definedName>
    <definedName name="lxxx">#REF!</definedName>
    <definedName name="ly">#REF!</definedName>
    <definedName name="lyy">#REF!</definedName>
    <definedName name="m">"$#REF!.$E$45"</definedName>
    <definedName name="M1x">#REF!</definedName>
    <definedName name="M1y">#REF!</definedName>
    <definedName name="M2x">#REF!</definedName>
    <definedName name="M2y">#REF!</definedName>
    <definedName name="Mandays_Working">#REF!</definedName>
    <definedName name="maxmix">#REF!</definedName>
    <definedName name="maxmiy">#REF!</definedName>
    <definedName name="mbpt">#REF!</definedName>
    <definedName name="mbpt_1">"$#REF!.$I$58"</definedName>
    <definedName name="mbpt_2">#REF!</definedName>
    <definedName name="mbpt_3">#REF!</definedName>
    <definedName name="mbpt_4">#REF!</definedName>
    <definedName name="memid">#REF!</definedName>
    <definedName name="Mi">#REF!</definedName>
    <definedName name="Mii">#REF!</definedName>
    <definedName name="Miii">#REF!</definedName>
    <definedName name="mix">#REF!</definedName>
    <definedName name="mixb">#REF!</definedName>
    <definedName name="mixt">#REF!</definedName>
    <definedName name="miy">#REF!</definedName>
    <definedName name="miyb">#REF!</definedName>
    <definedName name="miyt">#REF!</definedName>
    <definedName name="modular">#REF!</definedName>
    <definedName name="mom1x">#REF!</definedName>
    <definedName name="mom1y">#REF!</definedName>
    <definedName name="mom2x">#REF!</definedName>
    <definedName name="mom2y">#REF!</definedName>
    <definedName name="momratio">#REF!</definedName>
    <definedName name="Motor_data">'[15]Motor Data'!$B$18:$F$45</definedName>
    <definedName name="ms">"$#REF!.$#REF!$17"</definedName>
    <definedName name="msx">#REF!</definedName>
    <definedName name="msxb">#REF!</definedName>
    <definedName name="msxt">#REF!</definedName>
    <definedName name="msy">#REF!</definedName>
    <definedName name="msyb">#REF!</definedName>
    <definedName name="msyt">#REF!</definedName>
    <definedName name="mubyfckbd">#REF!</definedName>
    <definedName name="mux">#REF!</definedName>
    <definedName name="mux1b">#REF!</definedName>
    <definedName name="mux1t">#REF!</definedName>
    <definedName name="muxb">#REF!</definedName>
    <definedName name="muxt">#REF!</definedName>
    <definedName name="muy">#REF!</definedName>
    <definedName name="muy1b">#REF!</definedName>
    <definedName name="muy1t">#REF!</definedName>
    <definedName name="muyb">#REF!</definedName>
    <definedName name="muybyfckbd">#REF!</definedName>
    <definedName name="muyt">#REF!</definedName>
    <definedName name="mxb">#REF!</definedName>
    <definedName name="mxt">#REF!</definedName>
    <definedName name="myb">#REF!</definedName>
    <definedName name="myt">#REF!</definedName>
    <definedName name="N">"$#REF!.$E$35"</definedName>
    <definedName name="N_PI">#REF!</definedName>
    <definedName name="nb">#REF!</definedName>
    <definedName name="NCTC1LC">#REF!</definedName>
    <definedName name="NCTC1LR">#REF!</definedName>
    <definedName name="NCTC1RLOOP">#REF!</definedName>
    <definedName name="NCTC1VAC">#REF!</definedName>
    <definedName name="NCTC1VAM">#REF!</definedName>
    <definedName name="NCTC2IF">#REF!</definedName>
    <definedName name="NCTC2IFL">#REF!</definedName>
    <definedName name="NCTC2LENGTH">#REF!</definedName>
    <definedName name="NCTC2MAX.FAULT.CURRENT">#REF!</definedName>
    <definedName name="NCTC2RCT">#REF!</definedName>
    <definedName name="NCTC2RL">#REF!</definedName>
    <definedName name="ngl">#REF!</definedName>
    <definedName name="NH4Rückläufekg">[7]BALAN1!$E$19</definedName>
    <definedName name="NH4vorklkg">[7]BALAN1!$F$19</definedName>
    <definedName name="NH4vorklmg">[7]BALAN1!$F$20</definedName>
    <definedName name="NN">"$#REF!.$B$119"</definedName>
    <definedName name="NO3vorklkg">[7]BALAN1!$F$21</definedName>
    <definedName name="NO3vorklmg">[7]BALAN1!$F$22</definedName>
    <definedName name="nsbc">#REF!</definedName>
    <definedName name="nt">#REF!</definedName>
    <definedName name="Nx">"$#REF!.$E$30"</definedName>
    <definedName name="Ny">"$#REF!.$E$32"</definedName>
    <definedName name="OrgNvorklkg">[7]BALAN1!$F$23</definedName>
    <definedName name="OrgNvorklmg">[7]BALAN1!$F$24</definedName>
    <definedName name="P">#REF!</definedName>
    <definedName name="p_1">#REF!</definedName>
    <definedName name="P_2">#REF!</definedName>
    <definedName name="P_3">#REF!</definedName>
    <definedName name="P_4">#REF!</definedName>
    <definedName name="P_reinigung_in_BiopurN">[7]BALAN1!#REF!</definedName>
    <definedName name="P_reinigung_in_Filter">[7]BALAN1!#REF!</definedName>
    <definedName name="Page">#REF!</definedName>
    <definedName name="pb">#REF!</definedName>
    <definedName name="pbpt">#REF!</definedName>
    <definedName name="pbpt_1">"$#REF!.$I$59"</definedName>
    <definedName name="pbpt_2">#REF!</definedName>
    <definedName name="pbpt_3">#REF!</definedName>
    <definedName name="pbpt_4">#REF!</definedName>
    <definedName name="Pbx">#REF!</definedName>
    <definedName name="pbxexp">#REF!</definedName>
    <definedName name="Pby">#REF!</definedName>
    <definedName name="pbyexp">#REF!</definedName>
    <definedName name="pbyfck">#REF!</definedName>
    <definedName name="pbypuz">#REF!</definedName>
    <definedName name="PDB">#REF!</definedName>
    <definedName name="pefb">#REF!</definedName>
    <definedName name="peld">#REF!</definedName>
    <definedName name="pelw">#REF!</definedName>
    <definedName name="Perf_Garantee">#REF!</definedName>
    <definedName name="PFEff">[16]Sheet2!$B$7:$J$39</definedName>
    <definedName name="pftw">#REF!</definedName>
    <definedName name="phi">"$#REF!.$D$146"</definedName>
    <definedName name="Pi">#REF!</definedName>
    <definedName name="Pii">#REF!</definedName>
    <definedName name="Piii">#REF!</definedName>
    <definedName name="pmaci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p">'[5]Design basis-C'!$G$8</definedName>
    <definedName name="pper">#REF!</definedName>
    <definedName name="pper1">#REF!</definedName>
    <definedName name="ppp">'[5]Design basis-C'!$G$8</definedName>
    <definedName name="ppppp">'[5]Design basis-C'!$G$8</definedName>
    <definedName name="_xlnm.Print_Area">#REF!</definedName>
    <definedName name="PRINT_AREA_MI">"$#REF!.$A$6:$H$196"</definedName>
    <definedName name="Print_Area_MI_10">#REF!</definedName>
    <definedName name="PRINT_TITLE">#REF!</definedName>
    <definedName name="Print_Titles_MI_10">#REF!</definedName>
    <definedName name="proj">'[5]Design basis-C'!$B$5</definedName>
    <definedName name="proj2">'[5]Design basis-C'!$B$5</definedName>
    <definedName name="proj4">'[5]Design basis-C'!$B$5</definedName>
    <definedName name="project">#REF!</definedName>
    <definedName name="project1">'[5]Design basis-C'!$B$5</definedName>
    <definedName name="provide">#REF!</definedName>
    <definedName name="PRückläufekg">[7]BALAN1!$E$25</definedName>
    <definedName name="PS">"$#REF!.$E$16"</definedName>
    <definedName name="pt">#REF!</definedName>
    <definedName name="pt2c1vad">#REF!</definedName>
    <definedName name="Pu">#REF!</definedName>
    <definedName name="pub">#REF!</definedName>
    <definedName name="pubyfckbd">#REF!</definedName>
    <definedName name="pubyfckbd1">#REF!</definedName>
    <definedName name="put">#REF!</definedName>
    <definedName name="Puz">#REF!</definedName>
    <definedName name="puzb">#REF!</definedName>
    <definedName name="puzt">#REF!</definedName>
    <definedName name="Pvorklkg">[7]BALAN1!$F$25</definedName>
    <definedName name="Pvorklmg">[7]BALAN1!$F$26</definedName>
    <definedName name="Pxxi">#REF!</definedName>
    <definedName name="Pyyi">#REF!</definedName>
    <definedName name="Pyyiii">#REF!</definedName>
    <definedName name="q">#REF!</definedName>
    <definedName name="Qc">"$#REF!.$C$39"</definedName>
    <definedName name="Qf">"$#REF!.$C$47"</definedName>
    <definedName name="Qi">"$#REF!.$C$45"</definedName>
    <definedName name="Qmaxvorkl">[7]BALAN1!$F$11</definedName>
    <definedName name="Qmittelvorkl">[7]BALAN1!$F$10</definedName>
    <definedName name="qq">#REF!</definedName>
    <definedName name="QrezirkRegenw.">[7]BALAN1!$H$11</definedName>
    <definedName name="QrezirkTrockenw.">[7]BALAN1!$H$10</definedName>
    <definedName name="QRückläufe">[7]BALAN1!$E$10</definedName>
    <definedName name="QSchlamwasser_Dauer">[7]BALAN1!$E$54</definedName>
    <definedName name="raguy">[7]BALAN1!#REF!</definedName>
    <definedName name="ratio1">#REF!</definedName>
    <definedName name="Re">"$#REF!.$C$154"</definedName>
    <definedName name="reactions">#REF!</definedName>
    <definedName name="rect_4_415">#REF!</definedName>
    <definedName name="rel">#REF!</definedName>
    <definedName name="ReqID">#REF!</definedName>
    <definedName name="Rev">#REF!</definedName>
    <definedName name="Revision">#REF!</definedName>
    <definedName name="rig">#REF!</definedName>
    <definedName name="RK">#REF!</definedName>
    <definedName name="RKU">#REF!</definedName>
    <definedName name="robot">#REF!</definedName>
    <definedName name="rosid">#REF!</definedName>
    <definedName name="Rr">"$#REF!.$D$68"</definedName>
    <definedName name="Rs">"$#REF!.$C$173"</definedName>
    <definedName name="Rse">"$#REF!.$C$184"</definedName>
    <definedName name="RTYRTY">"$#REF!.$#REF!$#REF!"</definedName>
    <definedName name="s">#REF!</definedName>
    <definedName name="S_1">#REF!</definedName>
    <definedName name="satz1">'[17]7 Other Costs'!#REF!</definedName>
    <definedName name="satz2">'[17]7 Other Costs'!#REF!</definedName>
    <definedName name="sbc">#REF!</definedName>
    <definedName name="sbt">#REF!</definedName>
    <definedName name="scbc">#REF!</definedName>
    <definedName name="scfb">#REF!</definedName>
    <definedName name="schools">#REF!</definedName>
    <definedName name="scl">#REF!</definedName>
    <definedName name="scld">#REF!</definedName>
    <definedName name="scw">#REF!</definedName>
    <definedName name="sd">#REF!</definedName>
    <definedName name="sd_1">"$#REF!.$#REF!$65"</definedName>
    <definedName name="sd_2">#REF!</definedName>
    <definedName name="sd_3">#REF!</definedName>
    <definedName name="sd_4">#REF!</definedName>
    <definedName name="Sdate">#REF!</definedName>
    <definedName name="sdfsd">"$#REF!.$#REF!$#REF!"</definedName>
    <definedName name="sdfsdf">"$#REF!.$D$167"</definedName>
    <definedName name="SDFSDFSD">"$#REF!.$#REF!$#REF!"</definedName>
    <definedName name="sdfsdfsdf">"$#REF!.$D$167"</definedName>
    <definedName name="sdfsdfsdfsd">"$#REF!.$D$170"</definedName>
    <definedName name="SDSD">"$#REF!.$#REF!$#REF!"</definedName>
    <definedName name="SDSDFSDFSD">"$#REF!.$#REF!$#REF!"</definedName>
    <definedName name="SDSFSDFSD">"$#REF!.$#REF!$#REF!"</definedName>
    <definedName name="se">#REF!</definedName>
    <definedName name="se_1">"$#REF!.$J$89"</definedName>
    <definedName name="se_2">#REF!</definedName>
    <definedName name="se_3">#REF!</definedName>
    <definedName name="se_4">#REF!</definedName>
    <definedName name="Sect_table">#REF!</definedName>
    <definedName name="SERWQERQWER">"$#REF!.$#REF!$#REF!"</definedName>
    <definedName name="SETT1">#REF!</definedName>
    <definedName name="SETT2">#REF!</definedName>
    <definedName name="SETTT1">#REF!</definedName>
    <definedName name="sg">#REF!</definedName>
    <definedName name="sg_1">"$#REF!.$I$31"</definedName>
    <definedName name="sg_2">#REF!</definedName>
    <definedName name="sg_3">#REF!</definedName>
    <definedName name="sg_4">#REF!</definedName>
    <definedName name="sheet">'[18]Legal Risk Analysis'!#REF!</definedName>
    <definedName name="SHEET1">'[19]Legal Risk Analysis'!#REF!</definedName>
    <definedName name="si">"$#REF!.$D$152"</definedName>
    <definedName name="skv">#REF!</definedName>
    <definedName name="smx">#REF!</definedName>
    <definedName name="smy">#REF!</definedName>
    <definedName name="soilwt">[20]Footing!$F$26</definedName>
    <definedName name="Spülfreqenz_Filter">[7]BALAN1!#REF!</definedName>
    <definedName name="SQRT__1___0.6___1.0">"$#REF!.$D$99"</definedName>
    <definedName name="ss">"$#REF!.$#REF!$45"</definedName>
    <definedName name="SS_Reinigung_in_BiopurC">[7]BALAN1!#REF!</definedName>
    <definedName name="SS_reinigung_in_BiopurN">[7]BALAN1!#REF!</definedName>
    <definedName name="SS_Reinigung_in_Filter">[7]BALAN1!#REF!</definedName>
    <definedName name="SSRückläufekg">[7]BALAN1!$E$13</definedName>
    <definedName name="sst">#REF!</definedName>
    <definedName name="SSvorklkg">[7]BALAN1!$F$13</definedName>
    <definedName name="SSvorklmg">[7]BALAN1!$F$14</definedName>
    <definedName name="st">#REF!</definedName>
    <definedName name="st_1">"$#REF!.$I$120"</definedName>
    <definedName name="st_2">#REF!</definedName>
    <definedName name="st_3">#REF!</definedName>
    <definedName name="st_4">#REF!</definedName>
    <definedName name="steelar">#REF!</definedName>
    <definedName name="steelreq">#REF!</definedName>
    <definedName name="STIL">#REF!</definedName>
    <definedName name="Streitwert">'[21]Legal Risk Analysis'!#REF!</definedName>
    <definedName name="StrID">#REF!</definedName>
    <definedName name="struct">'[5]Design basis-C'!$B$7</definedName>
    <definedName name="struct2">'[5]Design basis-C'!$B$7</definedName>
    <definedName name="struct4">'[5]Design basis-C'!$B$7</definedName>
    <definedName name="structure">#REF!</definedName>
    <definedName name="stuct1">'[5]Design basis-C'!$B$7</definedName>
    <definedName name="studext">#REF!</definedName>
    <definedName name="studext_1">"$#REF!.$I$49"</definedName>
    <definedName name="studext_2">#REF!</definedName>
    <definedName name="studext_3">#REF!</definedName>
    <definedName name="studext_4">#REF!</definedName>
    <definedName name="STUDEXT1">#REF!</definedName>
    <definedName name="Subject">#REF!</definedName>
    <definedName name="surcharge">#REF!</definedName>
    <definedName name="Sy">#REF!</definedName>
    <definedName name="Sy_1">"$#REF!.$I$271"</definedName>
    <definedName name="Sy_2">#REF!</definedName>
    <definedName name="Sy_3">#REF!</definedName>
    <definedName name="Sy_4">#REF!</definedName>
    <definedName name="t">#REF!</definedName>
    <definedName name="t_1">"$#REF!.$I$19"</definedName>
    <definedName name="t_2">#REF!</definedName>
    <definedName name="t_3">#REF!</definedName>
    <definedName name="t_4">#REF!</definedName>
    <definedName name="T_Face">#REF!</definedName>
    <definedName name="tab">#REF!</definedName>
    <definedName name="Table">#REF!</definedName>
    <definedName name="table0">'[22]moments-table(tri)'!$A$746:$E$885</definedName>
    <definedName name="table0.2">'[22]moments-table(tri)'!$A$601:$E$740</definedName>
    <definedName name="table0.4">'[22]moments-table(tri)'!$A$456:$E$595</definedName>
    <definedName name="table0.6">'[22]moments-table(tri)'!$A$307:$E$446</definedName>
    <definedName name="table0.8">'[22]moments-table(tri)'!$A$162:$E$301</definedName>
    <definedName name="table1">'[1]SPT vs PHI'!$E$2:$F$47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Range">#REF!</definedName>
    <definedName name="tav">#REF!</definedName>
    <definedName name="tbs">#REF!</definedName>
    <definedName name="tcol">#REF!</definedName>
    <definedName name="tedge">#REF!</definedName>
    <definedName name="temp">#REF!</definedName>
    <definedName name="temp_1">"$#REF!.$I$19"</definedName>
    <definedName name="temp_2">#REF!</definedName>
    <definedName name="temp_3">#REF!</definedName>
    <definedName name="temp_4">#REF!</definedName>
    <definedName name="TEs">"$#REF!.$B$82"</definedName>
    <definedName name="TEt">"$#REF!.$B$73"</definedName>
    <definedName name="ti">#REF!</definedName>
    <definedName name="tii">#REF!</definedName>
    <definedName name="Title1">#REF!</definedName>
    <definedName name="Title2">#REF!</definedName>
    <definedName name="Tittle1">#REF!</definedName>
    <definedName name="TK">"$#REF!.$#REF!$#REF!"</definedName>
    <definedName name="Tkl">"$#REF!.$#REF!$#REF!"</definedName>
    <definedName name="tol">#REF!</definedName>
    <definedName name="topl">#REF!</definedName>
    <definedName name="topn">#REF!</definedName>
    <definedName name="TotNvorklkg">[7]BALAN1!$F$17</definedName>
    <definedName name="TotNvorklmg">[7]BALAN1!$F$18</definedName>
    <definedName name="TPR">#REF!</definedName>
    <definedName name="TPR_1">"$#REF!.$I$21"</definedName>
    <definedName name="TPR_2">#REF!</definedName>
    <definedName name="TPR_3">#REF!</definedName>
    <definedName name="TPR_4">#REF!</definedName>
    <definedName name="Tres">"$#REF!.$K$144"</definedName>
    <definedName name="tres4">"$#REF!.$D$148"</definedName>
    <definedName name="ts">#REF!</definedName>
    <definedName name="ts_1">"$#REF!.$I$96"</definedName>
    <definedName name="ts_2">#REF!</definedName>
    <definedName name="ts_3">#REF!</definedName>
    <definedName name="ts_4">#REF!</definedName>
    <definedName name="tsfb">#REF!</definedName>
    <definedName name="tsl">#REF!</definedName>
    <definedName name="tsswd">#REF!</definedName>
    <definedName name="tsw">#REF!</definedName>
    <definedName name="tt">#REF!</definedName>
    <definedName name="type">#REF!</definedName>
    <definedName name="ulenx">#REF!</definedName>
    <definedName name="uleny">#REF!</definedName>
    <definedName name="uniexp">#REF!</definedName>
    <definedName name="uniexp1">#REF!</definedName>
    <definedName name="Uo">"$#REF!.$#REF!$39"</definedName>
    <definedName name="vALVES">#REF!</definedName>
    <definedName name="Vc">"$#REF!.$D$266"</definedName>
    <definedName name="Vfour">"$#REF!.$D$264"</definedName>
    <definedName name="VKDIFF">"$#REF!.$F$27"</definedName>
    <definedName name="VKDP">"$#REF!.$F$36"</definedName>
    <definedName name="VKREF">"$#REF!.$F$18"</definedName>
    <definedName name="Vone">"$#REF!.$D$201"</definedName>
    <definedName name="vthree">"$#REF!.$K$212"</definedName>
    <definedName name="Vtwo">"$#REF!.$#REF!$205"</definedName>
    <definedName name="Vtwo1">"$#REF!.$G$234"</definedName>
    <definedName name="Vz">#REF!</definedName>
    <definedName name="Vz_1">"$#REF!.$I$170"</definedName>
    <definedName name="Vz_2">#REF!</definedName>
    <definedName name="Vz_3">#REF!</definedName>
    <definedName name="Vz_4">#REF!</definedName>
    <definedName name="wa">#REF!</definedName>
    <definedName name="WDW">#REF!</definedName>
    <definedName name="Wg">"$#REF!.$#REF!$33"</definedName>
    <definedName name="WH_Calculation_Variant6">#REF!</definedName>
    <definedName name="work">#REF!</definedName>
    <definedName name="ww">#REF!</definedName>
    <definedName name="X_CQuelleBiopurC">[7]BALAN1!$I$27</definedName>
    <definedName name="xi">#REF!</definedName>
    <definedName name="xii">#REF!</definedName>
    <definedName name="xiii">#REF!</definedName>
    <definedName name="xxxx">#REF!</definedName>
    <definedName name="XZCVXFSDF">"$#REF!.$#REF!$#REF!"</definedName>
    <definedName name="ys">#REF!</definedName>
    <definedName name="ys_1">"$#REF!.$I$117"</definedName>
    <definedName name="ys_2">#REF!</definedName>
    <definedName name="ys_3">#REF!</definedName>
    <definedName name="ys_4">#REF!</definedName>
    <definedName name="Z">#REF!</definedName>
    <definedName name="Zins_Garantee">#REF!</definedName>
    <definedName name="Zins_Monat">#REF!</definedName>
    <definedName name="Zinz_ÖKB">#REF!</definedName>
    <definedName name="ZXFVXCVXCV">"$#REF!.$#REF!$#REF!"</definedName>
    <definedName name="ZY">"$#REF!.$H$62"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2" i="14" l="1"/>
  <c r="AU30" i="14"/>
  <c r="AU21" i="14"/>
  <c r="J47" i="15"/>
  <c r="G58" i="20"/>
  <c r="G43" i="20"/>
  <c r="K70" i="20"/>
  <c r="K72" i="20" s="1"/>
  <c r="A41" i="20"/>
  <c r="A42" i="20"/>
  <c r="A43" i="20"/>
  <c r="A62" i="20"/>
  <c r="A63" i="20"/>
  <c r="G62" i="20"/>
  <c r="G65" i="20"/>
  <c r="F65" i="20"/>
  <c r="F63" i="20"/>
  <c r="G63" i="20"/>
  <c r="F62" i="20"/>
  <c r="F50" i="20"/>
  <c r="F43" i="20"/>
  <c r="F42" i="20"/>
  <c r="F41" i="20"/>
  <c r="J7" i="15"/>
  <c r="R7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P42" i="15"/>
  <c r="J42" i="15"/>
  <c r="P6" i="15"/>
  <c r="R6" i="15"/>
  <c r="J6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0" i="15"/>
  <c r="R9" i="15"/>
  <c r="R8" i="15"/>
  <c r="P22" i="15"/>
  <c r="P41" i="15"/>
  <c r="P40" i="15"/>
  <c r="P39" i="15"/>
  <c r="P38" i="15"/>
  <c r="P37" i="15"/>
  <c r="P36" i="15"/>
  <c r="P35" i="15"/>
  <c r="P34" i="15"/>
  <c r="P33" i="15"/>
  <c r="P32" i="15"/>
  <c r="P31" i="15"/>
  <c r="P30" i="15"/>
  <c r="P29" i="15"/>
  <c r="P28" i="15"/>
  <c r="P27" i="15"/>
  <c r="P26" i="15"/>
  <c r="P25" i="15"/>
  <c r="P24" i="15"/>
  <c r="P23" i="15"/>
  <c r="P21" i="15"/>
  <c r="P20" i="15"/>
  <c r="P19" i="15"/>
  <c r="P18" i="15"/>
  <c r="P17" i="15"/>
  <c r="P16" i="15"/>
  <c r="P15" i="15"/>
  <c r="P14" i="15"/>
  <c r="P13" i="15"/>
  <c r="P10" i="15"/>
  <c r="P9" i="15"/>
  <c r="P8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0" i="15"/>
  <c r="N9" i="15"/>
  <c r="N8" i="15"/>
  <c r="N5" i="15"/>
  <c r="J59" i="15"/>
  <c r="F61" i="20"/>
  <c r="G61" i="20" s="1"/>
  <c r="G52" i="20"/>
  <c r="F51" i="20"/>
  <c r="A8" i="20"/>
  <c r="A48" i="20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27" i="20"/>
  <c r="G56" i="20"/>
  <c r="F30" i="20"/>
  <c r="G30" i="20" s="1"/>
  <c r="F26" i="20"/>
  <c r="F60" i="20"/>
  <c r="G60" i="20" s="1"/>
  <c r="F29" i="20"/>
  <c r="G29" i="20" s="1"/>
  <c r="F28" i="20"/>
  <c r="F40" i="20"/>
  <c r="G40" i="20"/>
  <c r="F39" i="20"/>
  <c r="G39" i="20" s="1"/>
  <c r="H12" i="15" l="1"/>
  <c r="J9" i="15"/>
  <c r="J10" i="15"/>
  <c r="J12" i="15" l="1"/>
  <c r="R13" i="15"/>
  <c r="R12" i="15"/>
  <c r="P12" i="15"/>
  <c r="N12" i="15"/>
  <c r="H60" i="15"/>
  <c r="H11" i="15"/>
  <c r="J64" i="15"/>
  <c r="J63" i="15"/>
  <c r="J62" i="15"/>
  <c r="R11" i="15" l="1"/>
  <c r="P11" i="15"/>
  <c r="N11" i="15"/>
  <c r="N43" i="15" s="1"/>
  <c r="R98" i="15"/>
  <c r="Q98" i="15"/>
  <c r="P98" i="15"/>
  <c r="O98" i="15"/>
  <c r="N98" i="15"/>
  <c r="M98" i="15"/>
  <c r="J92" i="15"/>
  <c r="J91" i="15"/>
  <c r="J90" i="15"/>
  <c r="J89" i="15"/>
  <c r="J88" i="15"/>
  <c r="A88" i="15"/>
  <c r="A89" i="15" s="1"/>
  <c r="A90" i="15" s="1"/>
  <c r="A91" i="15" s="1"/>
  <c r="A92" i="15" s="1"/>
  <c r="A93" i="15" s="1"/>
  <c r="A94" i="15" s="1"/>
  <c r="A95" i="15" s="1"/>
  <c r="A96" i="15" s="1"/>
  <c r="A97" i="15" s="1"/>
  <c r="G51" i="20"/>
  <c r="F38" i="20"/>
  <c r="G38" i="20" s="1"/>
  <c r="F13" i="20"/>
  <c r="A28" i="20"/>
  <c r="F59" i="20"/>
  <c r="G59" i="20" s="1"/>
  <c r="F58" i="20"/>
  <c r="F57" i="20"/>
  <c r="F35" i="20"/>
  <c r="G35" i="20" s="1"/>
  <c r="F37" i="20"/>
  <c r="J25" i="15"/>
  <c r="R5" i="15"/>
  <c r="P5" i="15"/>
  <c r="J13" i="15"/>
  <c r="J70" i="20"/>
  <c r="J72" i="20" s="1"/>
  <c r="A78" i="15"/>
  <c r="A79" i="15" s="1"/>
  <c r="A80" i="15" s="1"/>
  <c r="A81" i="15" s="1"/>
  <c r="A82" i="15" s="1"/>
  <c r="A53" i="15"/>
  <c r="A54" i="15" s="1"/>
  <c r="A55" i="15" s="1"/>
  <c r="A56" i="15" s="1"/>
  <c r="A57" i="15" s="1"/>
  <c r="A58" i="15" s="1"/>
  <c r="A59" i="15" s="1"/>
  <c r="A83" i="15" s="1"/>
  <c r="A60" i="15" s="1"/>
  <c r="J82" i="15"/>
  <c r="J81" i="15"/>
  <c r="J80" i="15"/>
  <c r="J79" i="15"/>
  <c r="J78" i="15"/>
  <c r="J74" i="15"/>
  <c r="J73" i="15"/>
  <c r="J72" i="15"/>
  <c r="J71" i="15"/>
  <c r="J70" i="15"/>
  <c r="J69" i="15"/>
  <c r="J68" i="15"/>
  <c r="J67" i="15"/>
  <c r="J61" i="15"/>
  <c r="J60" i="15"/>
  <c r="J83" i="15"/>
  <c r="J58" i="15"/>
  <c r="J57" i="15"/>
  <c r="J56" i="15"/>
  <c r="J53" i="15"/>
  <c r="J52" i="15"/>
  <c r="S37" i="14"/>
  <c r="S19" i="14"/>
  <c r="S17" i="14"/>
  <c r="S16" i="14"/>
  <c r="L19" i="15"/>
  <c r="L18" i="15"/>
  <c r="L17" i="15"/>
  <c r="AW45" i="14"/>
  <c r="AW23" i="14"/>
  <c r="AW12" i="14"/>
  <c r="AW10" i="14"/>
  <c r="AM6" i="14"/>
  <c r="I55" i="15"/>
  <c r="J55" i="15" s="1"/>
  <c r="I54" i="15"/>
  <c r="J54" i="15" s="1"/>
  <c r="U42" i="14"/>
  <c r="U37" i="14"/>
  <c r="U38" i="14"/>
  <c r="U31" i="14"/>
  <c r="U27" i="14"/>
  <c r="U24" i="14"/>
  <c r="U19" i="14"/>
  <c r="U20" i="14"/>
  <c r="U16" i="14"/>
  <c r="U17" i="14"/>
  <c r="U14" i="14"/>
  <c r="U11" i="14"/>
  <c r="U7" i="14"/>
  <c r="J17" i="15"/>
  <c r="J18" i="15"/>
  <c r="J15" i="15"/>
  <c r="F32" i="20"/>
  <c r="G32" i="20" s="1"/>
  <c r="F14" i="20"/>
  <c r="G14" i="20" s="1"/>
  <c r="F7" i="20"/>
  <c r="F54" i="20"/>
  <c r="G54" i="20" s="1"/>
  <c r="F55" i="20"/>
  <c r="G50" i="20"/>
  <c r="R86" i="15"/>
  <c r="Q86" i="15"/>
  <c r="P86" i="15"/>
  <c r="O86" i="15"/>
  <c r="N86" i="15"/>
  <c r="M86" i="15"/>
  <c r="R76" i="15"/>
  <c r="Q76" i="15"/>
  <c r="P76" i="15"/>
  <c r="O76" i="15"/>
  <c r="N76" i="15"/>
  <c r="M76" i="15"/>
  <c r="M65" i="15"/>
  <c r="N65" i="15"/>
  <c r="O65" i="15"/>
  <c r="P65" i="15"/>
  <c r="Q65" i="15"/>
  <c r="R65" i="15"/>
  <c r="J21" i="15"/>
  <c r="F9" i="20"/>
  <c r="F8" i="20"/>
  <c r="F69" i="20"/>
  <c r="F33" i="20"/>
  <c r="G33" i="20" s="1"/>
  <c r="F11" i="20"/>
  <c r="F10" i="20"/>
  <c r="I70" i="20"/>
  <c r="I72" i="20" s="1"/>
  <c r="H67" i="20"/>
  <c r="E65" i="20"/>
  <c r="F53" i="20"/>
  <c r="G53" i="20" s="1"/>
  <c r="F47" i="20"/>
  <c r="G47" i="20" s="1"/>
  <c r="E45" i="20"/>
  <c r="F36" i="20"/>
  <c r="G36" i="20" s="1"/>
  <c r="F31" i="20"/>
  <c r="F34" i="20"/>
  <c r="G34" i="20" s="1"/>
  <c r="E24" i="20"/>
  <c r="F12" i="20"/>
  <c r="G12" i="20" s="1"/>
  <c r="G24" i="20" s="1"/>
  <c r="A9" i="20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G31" i="20" l="1"/>
  <c r="F45" i="20"/>
  <c r="F24" i="20"/>
  <c r="A61" i="15"/>
  <c r="A84" i="15"/>
  <c r="A29" i="20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G26" i="20"/>
  <c r="G45" i="20" s="1"/>
  <c r="E71" i="20"/>
  <c r="E72" i="20" s="1"/>
  <c r="J65" i="15"/>
  <c r="J76" i="15"/>
  <c r="J86" i="15"/>
  <c r="J98" i="15"/>
  <c r="H69" i="20"/>
  <c r="AE52" i="14"/>
  <c r="AM17" i="14"/>
  <c r="AW17" i="14" s="1"/>
  <c r="AC39" i="14"/>
  <c r="AC38" i="14"/>
  <c r="AC37" i="14"/>
  <c r="AC28" i="14"/>
  <c r="AC24" i="14"/>
  <c r="AC20" i="14"/>
  <c r="AC19" i="14"/>
  <c r="AC16" i="14"/>
  <c r="AC15" i="14"/>
  <c r="AC13" i="14"/>
  <c r="AC8" i="14"/>
  <c r="AA24" i="14"/>
  <c r="Q43" i="15"/>
  <c r="O43" i="15"/>
  <c r="M43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4" i="15"/>
  <c r="J23" i="15"/>
  <c r="J22" i="15"/>
  <c r="J20" i="15"/>
  <c r="J19" i="15"/>
  <c r="J14" i="15"/>
  <c r="J11" i="15"/>
  <c r="J8" i="15"/>
  <c r="J5" i="15"/>
  <c r="AS42" i="14"/>
  <c r="AS38" i="14"/>
  <c r="AS37" i="14"/>
  <c r="AS31" i="14"/>
  <c r="AS30" i="14"/>
  <c r="AW30" i="14" s="1"/>
  <c r="AS24" i="14"/>
  <c r="AS21" i="14"/>
  <c r="AW21" i="14" s="1"/>
  <c r="AS19" i="14"/>
  <c r="AS16" i="14"/>
  <c r="AS14" i="14"/>
  <c r="AS13" i="14"/>
  <c r="AS9" i="14"/>
  <c r="AW9" i="14" s="1"/>
  <c r="AQ42" i="14"/>
  <c r="AQ31" i="14"/>
  <c r="AQ38" i="14"/>
  <c r="AQ37" i="14"/>
  <c r="AQ27" i="14"/>
  <c r="AQ24" i="14"/>
  <c r="AQ20" i="14"/>
  <c r="AQ16" i="14"/>
  <c r="AQ13" i="14"/>
  <c r="AQ7" i="14"/>
  <c r="A62" i="15" l="1"/>
  <c r="A63" i="15" s="1"/>
  <c r="A64" i="15" s="1"/>
  <c r="A85" i="15"/>
  <c r="G71" i="20"/>
  <c r="G72" i="20" s="1"/>
  <c r="F71" i="20"/>
  <c r="H71" i="20" s="1"/>
  <c r="H70" i="20"/>
  <c r="R43" i="15"/>
  <c r="J43" i="15"/>
  <c r="F72" i="20" l="1"/>
  <c r="H72" i="20" s="1"/>
  <c r="P43" i="15"/>
  <c r="AO47" i="14"/>
  <c r="AW47" i="14" s="1"/>
  <c r="AO38" i="14"/>
  <c r="AO28" i="14"/>
  <c r="AO11" i="14"/>
  <c r="AO7" i="14"/>
  <c r="AM18" i="14"/>
  <c r="AW18" i="14" s="1"/>
  <c r="AI40" i="14"/>
  <c r="AW40" i="14" s="1"/>
  <c r="AI52" i="14"/>
  <c r="AI51" i="14"/>
  <c r="AK38" i="14"/>
  <c r="AK37" i="14"/>
  <c r="AK29" i="14"/>
  <c r="AK28" i="14"/>
  <c r="AK24" i="14"/>
  <c r="AK20" i="14"/>
  <c r="AK19" i="14"/>
  <c r="AK16" i="14"/>
  <c r="AK14" i="14"/>
  <c r="AK13" i="14"/>
  <c r="AK8" i="14"/>
  <c r="AI37" i="14"/>
  <c r="AI29" i="14"/>
  <c r="AI28" i="14"/>
  <c r="AI24" i="14"/>
  <c r="AI20" i="14"/>
  <c r="AI19" i="14"/>
  <c r="AI16" i="14"/>
  <c r="AI15" i="14"/>
  <c r="AI13" i="14"/>
  <c r="AI8" i="14"/>
  <c r="AG42" i="14"/>
  <c r="AG38" i="14"/>
  <c r="AG37" i="14"/>
  <c r="AG24" i="14"/>
  <c r="AG20" i="14"/>
  <c r="AG19" i="14"/>
  <c r="AG16" i="14"/>
  <c r="AG14" i="14"/>
  <c r="AG13" i="14"/>
  <c r="AG8" i="14"/>
  <c r="AE38" i="14" l="1"/>
  <c r="AE37" i="14"/>
  <c r="AE24" i="14"/>
  <c r="AE22" i="14"/>
  <c r="AW22" i="14" s="1"/>
  <c r="AE19" i="14"/>
  <c r="AE15" i="14"/>
  <c r="AE16" i="14"/>
  <c r="AE14" i="14"/>
  <c r="AE8" i="14"/>
  <c r="AW8" i="14" s="1"/>
  <c r="AA53" i="14"/>
  <c r="AW53" i="14" s="1"/>
  <c r="AA46" i="14"/>
  <c r="AW46" i="14" s="1"/>
  <c r="AA42" i="14"/>
  <c r="AA38" i="14"/>
  <c r="AA37" i="14"/>
  <c r="AA27" i="14"/>
  <c r="AA20" i="14"/>
  <c r="AA16" i="14"/>
  <c r="AA13" i="14"/>
  <c r="AA7" i="14"/>
  <c r="Y42" i="14"/>
  <c r="Y27" i="14"/>
  <c r="Y16" i="14"/>
  <c r="Y13" i="14"/>
  <c r="Y7" i="14"/>
  <c r="W42" i="14"/>
  <c r="W31" i="14"/>
  <c r="W28" i="14"/>
  <c r="W19" i="14"/>
  <c r="W16" i="14"/>
  <c r="W13" i="14"/>
  <c r="W7" i="14"/>
  <c r="Q39" i="14"/>
  <c r="Q38" i="14"/>
  <c r="Q37" i="14"/>
  <c r="Q31" i="14"/>
  <c r="Q28" i="14"/>
  <c r="Q24" i="14"/>
  <c r="Q20" i="14"/>
  <c r="Q19" i="14"/>
  <c r="Q16" i="14"/>
  <c r="Q15" i="14"/>
  <c r="Q13" i="14"/>
  <c r="Q7" i="14"/>
  <c r="O28" i="14"/>
  <c r="O24" i="14"/>
  <c r="O20" i="14"/>
  <c r="O19" i="14"/>
  <c r="O16" i="14"/>
  <c r="O15" i="14"/>
  <c r="O13" i="14"/>
  <c r="O7" i="14"/>
  <c r="M19" i="14"/>
  <c r="M16" i="14"/>
  <c r="M14" i="14"/>
  <c r="M13" i="14"/>
  <c r="AW13" i="14" s="1"/>
  <c r="M7" i="14"/>
  <c r="K42" i="14"/>
  <c r="K37" i="14"/>
  <c r="K36" i="14"/>
  <c r="K34" i="14"/>
  <c r="K32" i="14"/>
  <c r="K31" i="14"/>
  <c r="K26" i="14"/>
  <c r="K24" i="14"/>
  <c r="K20" i="14"/>
  <c r="K19" i="14"/>
  <c r="K16" i="14"/>
  <c r="K14" i="14"/>
  <c r="K11" i="14"/>
  <c r="K7" i="14"/>
  <c r="I19" i="14"/>
  <c r="I16" i="14"/>
  <c r="I15" i="14"/>
  <c r="I11" i="14"/>
  <c r="G11" i="14"/>
  <c r="I7" i="14"/>
  <c r="G36" i="14"/>
  <c r="G35" i="14"/>
  <c r="G33" i="14"/>
  <c r="G31" i="14"/>
  <c r="G25" i="14"/>
  <c r="G24" i="14"/>
  <c r="G20" i="14"/>
  <c r="G19" i="14"/>
  <c r="G16" i="14"/>
  <c r="G14" i="14"/>
  <c r="G7" i="14"/>
  <c r="AW27" i="14" l="1"/>
  <c r="AP55" i="14"/>
  <c r="AP56" i="14" s="1"/>
  <c r="AP59" i="14" s="1"/>
  <c r="AN55" i="14"/>
  <c r="AN56" i="14" s="1"/>
  <c r="AN58" i="14" s="1"/>
  <c r="AL55" i="14"/>
  <c r="AL56" i="14" s="1"/>
  <c r="AJ55" i="14"/>
  <c r="AJ56" i="14" s="1"/>
  <c r="AF55" i="14"/>
  <c r="AF56" i="14" s="1"/>
  <c r="AD55" i="14"/>
  <c r="AD56" i="14" s="1"/>
  <c r="AD58" i="14" s="1"/>
  <c r="Z55" i="14"/>
  <c r="Z56" i="14" s="1"/>
  <c r="X55" i="14"/>
  <c r="X56" i="14" s="1"/>
  <c r="X61" i="14" s="1"/>
  <c r="P55" i="14"/>
  <c r="P56" i="14" s="1"/>
  <c r="N55" i="14"/>
  <c r="N56" i="14" s="1"/>
  <c r="L55" i="14"/>
  <c r="L56" i="14" s="1"/>
  <c r="J55" i="14"/>
  <c r="J56" i="14" s="1"/>
  <c r="H55" i="14"/>
  <c r="H56" i="14" s="1"/>
  <c r="H61" i="14" s="1"/>
  <c r="F55" i="14"/>
  <c r="AE54" i="14"/>
  <c r="AW54" i="14" s="1"/>
  <c r="AK52" i="14"/>
  <c r="AW52" i="14" s="1"/>
  <c r="AK51" i="14"/>
  <c r="AW51" i="14" s="1"/>
  <c r="O50" i="14"/>
  <c r="AW50" i="14" s="1"/>
  <c r="O49" i="14"/>
  <c r="AW49" i="14" s="1"/>
  <c r="O48" i="14"/>
  <c r="AW48" i="14" s="1"/>
  <c r="G44" i="14"/>
  <c r="AW44" i="14" s="1"/>
  <c r="AK43" i="14"/>
  <c r="AW43" i="14" s="1"/>
  <c r="AK42" i="14"/>
  <c r="AC42" i="14"/>
  <c r="M42" i="14"/>
  <c r="AI39" i="14"/>
  <c r="O39" i="14"/>
  <c r="I39" i="14"/>
  <c r="AI38" i="14"/>
  <c r="W38" i="14"/>
  <c r="O38" i="14"/>
  <c r="M38" i="14"/>
  <c r="K38" i="14"/>
  <c r="I38" i="14"/>
  <c r="G38" i="14"/>
  <c r="Y37" i="14"/>
  <c r="W37" i="14"/>
  <c r="O37" i="14"/>
  <c r="M37" i="14"/>
  <c r="I37" i="14"/>
  <c r="G37" i="14"/>
  <c r="O36" i="14"/>
  <c r="I36" i="14"/>
  <c r="I34" i="14"/>
  <c r="AW34" i="14" s="1"/>
  <c r="I32" i="14"/>
  <c r="AW32" i="14" s="1"/>
  <c r="AK31" i="14"/>
  <c r="AI31" i="14"/>
  <c r="M31" i="14"/>
  <c r="I31" i="14"/>
  <c r="M28" i="14"/>
  <c r="AW28" i="14" s="1"/>
  <c r="I26" i="14"/>
  <c r="AW26" i="14" s="1"/>
  <c r="AE25" i="14"/>
  <c r="W24" i="14"/>
  <c r="M24" i="14"/>
  <c r="I24" i="14"/>
  <c r="W20" i="14"/>
  <c r="M20" i="14"/>
  <c r="I20" i="14"/>
  <c r="W14" i="14"/>
  <c r="AW14" i="14" s="1"/>
  <c r="A8" i="14"/>
  <c r="A9" i="14" s="1"/>
  <c r="A10" i="14" s="1"/>
  <c r="A11" i="14" s="1"/>
  <c r="A12" i="14" s="1"/>
  <c r="A13" i="14" s="1"/>
  <c r="A14" i="14" s="1"/>
  <c r="A15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E6" i="14"/>
  <c r="AW6" i="14" s="1"/>
  <c r="AW42" i="14" l="1"/>
  <c r="AW39" i="14"/>
  <c r="E38" i="14"/>
  <c r="E41" i="14"/>
  <c r="AW41" i="14" s="1"/>
  <c r="E36" i="14"/>
  <c r="AW36" i="14" s="1"/>
  <c r="E11" i="14"/>
  <c r="AW11" i="14" s="1"/>
  <c r="E16" i="14"/>
  <c r="E7" i="14"/>
  <c r="AW7" i="14" s="1"/>
  <c r="E15" i="14"/>
  <c r="AW15" i="14" s="1"/>
  <c r="E35" i="14"/>
  <c r="AW35" i="14" s="1"/>
  <c r="J60" i="14"/>
  <c r="J61" i="14"/>
  <c r="J58" i="14"/>
  <c r="AF58" i="14"/>
  <c r="AF60" i="14"/>
  <c r="F56" i="14"/>
  <c r="F60" i="14" s="1"/>
  <c r="L60" i="14"/>
  <c r="L59" i="14"/>
  <c r="L61" i="14"/>
  <c r="L58" i="14"/>
  <c r="AJ61" i="14"/>
  <c r="AJ60" i="14"/>
  <c r="AJ59" i="14"/>
  <c r="N60" i="14"/>
  <c r="N61" i="14"/>
  <c r="N58" i="14"/>
  <c r="N59" i="14"/>
  <c r="Z60" i="14"/>
  <c r="Z61" i="14"/>
  <c r="AL58" i="14"/>
  <c r="AL59" i="14"/>
  <c r="E20" i="14"/>
  <c r="AW20" i="14" s="1"/>
  <c r="H59" i="14"/>
  <c r="X60" i="14"/>
  <c r="E33" i="14"/>
  <c r="AW33" i="14" s="1"/>
  <c r="E37" i="14"/>
  <c r="J59" i="14"/>
  <c r="X59" i="14"/>
  <c r="AN59" i="14"/>
  <c r="AF61" i="14"/>
  <c r="E19" i="14"/>
  <c r="E31" i="14"/>
  <c r="H60" i="14"/>
  <c r="E24" i="14"/>
  <c r="E25" i="14"/>
  <c r="AW25" i="14" s="1"/>
  <c r="E29" i="14"/>
  <c r="AW29" i="14" s="1"/>
  <c r="H58" i="14"/>
  <c r="X58" i="14"/>
  <c r="AW24" i="14" l="1"/>
  <c r="AU24" i="14"/>
  <c r="AW31" i="14"/>
  <c r="AU31" i="14"/>
  <c r="AW19" i="14"/>
  <c r="AU19" i="14"/>
  <c r="AW37" i="14"/>
  <c r="AU37" i="14"/>
  <c r="AW16" i="14"/>
  <c r="AW38" i="14"/>
  <c r="AU38" i="14"/>
  <c r="AW60" i="14"/>
  <c r="F58" i="14"/>
  <c r="AW58" i="14" s="1"/>
  <c r="F61" i="14"/>
  <c r="AW61" i="14" s="1"/>
  <c r="F59" i="14"/>
  <c r="AW59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Shubham Bidave</author>
    <author>tc={E2E37596-6059-4C65-BB76-D5E809FDA3ED}</author>
    <author>tc={6E5BDE22-FFB2-4A12-ADCE-38F17A37F3E6}</author>
    <author>tc={8F30D646-0EB0-418F-9981-97751C793B85}</author>
    <author>tc={44946326-894A-4AA7-8C7A-7D675A28F96A}</author>
    <author>tc={BC2890E8-C758-4E94-A1BF-9C9C73F2A055}</author>
    <author>tc={81C3D436-5712-4E2C-8B76-792585F57DC7}</author>
    <author>tc={4F510A4E-94A4-40B1-87BA-6FF9507C0F56}</author>
    <author>tc={08E36EA9-6005-4C7C-B785-C03E26C1F959}</author>
    <author>tc={AB1E87EE-33B8-4253-BB56-28FF29C13E9F}</author>
    <author>tc={83C701F1-9F2F-450B-A23A-DB9D7013BE73}</author>
    <author>tc={DD149CCB-9159-4D3F-814E-59E4C08E3812}</author>
    <author>tc={F284BA55-7041-4FE1-BC22-DA14FC8F87BB}</author>
    <author>tc={4923612D-3614-4F3D-805D-52FD823C4870}</author>
  </authors>
  <commentList>
    <comment ref="A1" authorId="0" shapeId="0" xr:uid="{D1602C2D-2EDB-453F-9E95-D7ACA4816871}">
      <text>
        <r>
          <rPr>
            <sz val="11"/>
            <color theme="1"/>
            <rFont val="Calibri"/>
            <family val="2"/>
            <scheme val="minor"/>
          </rPr>
          <t xml:space="preserve">Shubham Bidave:
For Updates on Delivery and Orders kindly check the comment section of each cell in month wise schedule B58 to B61 
</t>
        </r>
      </text>
    </comment>
    <comment ref="S6" authorId="1" shapeId="0" xr:uid="{E2E37596-6059-4C65-BB76-D5E809FDA3ED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BSRTC</t>
        </r>
      </text>
    </comment>
    <comment ref="T6" authorId="2" shapeId="0" xr:uid="{6E5BDE22-FFB2-4A12-ADCE-38F17A37F3E6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Hindustan Zinc</t>
        </r>
      </text>
    </comment>
    <comment ref="U6" authorId="3" shapeId="0" xr:uid="{8F30D646-0EB0-418F-9981-97751C793B85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BSRTC</t>
        </r>
      </text>
    </comment>
    <comment ref="V6" authorId="4" shapeId="0" xr:uid="{44946326-894A-4AA7-8C7A-7D675A28F96A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Hindustan Zinc</t>
        </r>
      </text>
    </comment>
    <comment ref="AM58" authorId="5" shapeId="0" xr:uid="{BC2890E8-C758-4E94-A1BF-9C9C73F2A055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TGSRTC</t>
        </r>
      </text>
    </comment>
    <comment ref="I59" authorId="6" shapeId="0" xr:uid="{81C3D436-5712-4E2C-8B76-792585F57DC7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New Addition as per 03012026
Reply:
    9 M Vidya Delhi 25 Sets- 08-01-2026
9 M Vidya 25 Sets- 18-01-2026</t>
        </r>
      </text>
    </comment>
    <comment ref="K59" authorId="7" shapeId="0" xr:uid="{4F510A4E-94A4-40B1-87BA-6FF9507C0F56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Updated by Sandeep 03012026
Reply:
    1. 12M Vidya- Earlier 30 set dispatch with 1 WH remaining 29 WH dispatch by-05-01-2026 
2. 12  Vidya- 25 sets- 12-01-2026
3. 12M Vidya 25 Sets- 15-01-2026</t>
        </r>
      </text>
    </comment>
    <comment ref="Q59" authorId="8" shapeId="0" xr:uid="{08E36EA9-6005-4C7C-B785-C03E26C1F959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updated schedule 8 as per PO and sales customer
Reply:
    8 Sets by 05-01-2026</t>
        </r>
      </text>
    </comment>
    <comment ref="AM59" authorId="9" shapeId="0" xr:uid="{AB1E87EE-33B8-4253-BB56-28FF29C13E9F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TGSRTC-164, RSRTC-20</t>
        </r>
      </text>
    </comment>
    <comment ref="S60" authorId="10" shapeId="0" xr:uid="{83C701F1-9F2F-450B-A23A-DB9D7013BE73}">
      <text>
        <r>
          <rPr>
            <sz val="11"/>
            <color theme="1"/>
            <rFont val="Calibri"/>
            <charset val="134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BSRTC-85 Nos, Hindustan Zinc-20+10 Nos
</t>
        </r>
      </text>
    </comment>
    <comment ref="AM60" authorId="11" shapeId="0" xr:uid="{DD149CCB-9159-4D3F-814E-59E4C08E3812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RSRTC-Asia Body Builder-25, RSRTC 200</t>
        </r>
      </text>
    </comment>
    <comment ref="S61" authorId="12" shapeId="0" xr:uid="{F284BA55-7041-4FE1-BC22-DA14FC8F87BB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BSRTC-85 Nos, Hindustan Zinc-20+10 Nos</t>
        </r>
      </text>
    </comment>
    <comment ref="U61" authorId="13" shapeId="0" xr:uid="{4923612D-3614-4F3D-805D-52FD823C4870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BSRTC-85 Nos, Hindustan Zinc-20+10 Nos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tc={363C051F-1398-48A6-947D-CF5D91B6EE68}</author>
  </authors>
  <commentList>
    <comment ref="K35" authorId="0" shapeId="0" xr:uid="{363C051F-1398-48A6-947D-CF5D91B6EE68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8 Nos Order Received Rest pending</t>
        </r>
      </text>
    </comment>
  </commentList>
</comments>
</file>

<file path=xl/sharedStrings.xml><?xml version="1.0" encoding="utf-8"?>
<sst xmlns="http://schemas.openxmlformats.org/spreadsheetml/2006/main" count="884" uniqueCount="276">
  <si>
    <t>Current Orders in Hand and Estimated Deliveries 24-12-2025</t>
  </si>
  <si>
    <t>Total Requirement</t>
  </si>
  <si>
    <t>EKA</t>
  </si>
  <si>
    <t>PMI</t>
  </si>
  <si>
    <t>TATA</t>
  </si>
  <si>
    <t>Ashok Leyland</t>
  </si>
  <si>
    <t>TATA (MSRTC)</t>
  </si>
  <si>
    <t>Ashok Leyland (MSRTC)</t>
  </si>
  <si>
    <t>Daga</t>
  </si>
  <si>
    <t>Amnex</t>
  </si>
  <si>
    <t xml:space="preserve">Aeroeagle </t>
  </si>
  <si>
    <t>Antony</t>
  </si>
  <si>
    <t>RSRTC-TGSRTC</t>
  </si>
  <si>
    <t>Plasser</t>
  </si>
  <si>
    <t>ACGL</t>
  </si>
  <si>
    <t>JSW</t>
  </si>
  <si>
    <t>9M</t>
  </si>
  <si>
    <t>12M</t>
  </si>
  <si>
    <t>CESL 9M</t>
  </si>
  <si>
    <t>CESL 12M</t>
  </si>
  <si>
    <t>BEST 12M</t>
  </si>
  <si>
    <t>CRUT 9M</t>
  </si>
  <si>
    <t>School Bus 9M</t>
  </si>
  <si>
    <t>BSRTC</t>
  </si>
  <si>
    <t>Hindustan Zinc</t>
  </si>
  <si>
    <t>NMMT</t>
  </si>
  <si>
    <t>AMTS</t>
  </si>
  <si>
    <t xml:space="preserve">PMPML </t>
  </si>
  <si>
    <t>ARMY Bus</t>
  </si>
  <si>
    <t>Staff Buses</t>
  </si>
  <si>
    <t>Sr No</t>
  </si>
  <si>
    <t>Line Item</t>
  </si>
  <si>
    <t>Per Unit Qty</t>
  </si>
  <si>
    <t>Per Unit Cost</t>
  </si>
  <si>
    <t>Qty</t>
  </si>
  <si>
    <t>Cost</t>
  </si>
  <si>
    <t>OBU 7.1-X3N With E-SIM</t>
  </si>
  <si>
    <t>OBU 7.1-X3N With Plastic-SIM</t>
  </si>
  <si>
    <t>Analog MDVR-Howen</t>
  </si>
  <si>
    <t>2 TB SSD-WD</t>
  </si>
  <si>
    <t>2 TB SSD-Toshiba</t>
  </si>
  <si>
    <t>1 TB SSD-WD</t>
  </si>
  <si>
    <t>1 TB SSD-Toshiba</t>
  </si>
  <si>
    <t>Front LED destination Board BD1800</t>
  </si>
  <si>
    <t>Front LED destination Board BD900</t>
  </si>
  <si>
    <t>Frontr LED destination Board BDC900</t>
  </si>
  <si>
    <t>Economy Side/Rear LED destination Board BD900-</t>
  </si>
  <si>
    <t>Inner LED destination board BD840</t>
  </si>
  <si>
    <t xml:space="preserve">7" BDC with Touch screen </t>
  </si>
  <si>
    <t>7" BDC with Non screen-Howen</t>
  </si>
  <si>
    <t>10.1" BDC with Keyboard</t>
  </si>
  <si>
    <t>10.1" BDC w/o Keyboard</t>
  </si>
  <si>
    <t xml:space="preserve">Microphone </t>
  </si>
  <si>
    <t>5MP IP camera -Non STQC</t>
  </si>
  <si>
    <t>2MP  IP camera -STQC</t>
  </si>
  <si>
    <t>2MP  IP camera -Non STQC</t>
  </si>
  <si>
    <t>2MP rear view camera-IP-Non STQC</t>
  </si>
  <si>
    <t>2MP  AHD Dome camera</t>
  </si>
  <si>
    <t>2MP rear view camera -AHD</t>
  </si>
  <si>
    <t>APC-Master-Top Mounting</t>
  </si>
  <si>
    <t>APC-Master-Side Mounting</t>
  </si>
  <si>
    <t>APC-Slave-Top Mounting</t>
  </si>
  <si>
    <t>APC-Slave-Side Mounting</t>
  </si>
  <si>
    <t>PON Switch</t>
  </si>
  <si>
    <t>Speaker with grill</t>
  </si>
  <si>
    <t>Combi Antenna (GPS + GSM + Wi-Fi)</t>
  </si>
  <si>
    <t>Wiring Harness - 9M-VTS</t>
  </si>
  <si>
    <t>Wiring Harness - 9M-VTS+APC+ITS-EKA</t>
  </si>
  <si>
    <t>Wiring Harness - 12M-ITS</t>
  </si>
  <si>
    <t>Wiring Harness - 12M-VTS</t>
  </si>
  <si>
    <t>Wiring Harness - 12M-VTS+APC+ITS-EKA</t>
  </si>
  <si>
    <t>Wiring Harness - 9M-PMI</t>
  </si>
  <si>
    <t>Wiring Harness - 11 M ITS + VTS</t>
  </si>
  <si>
    <t>Wiring Harness Plasser</t>
  </si>
  <si>
    <t>ADAS+DSM</t>
  </si>
  <si>
    <t>Blind Spot Detection System</t>
  </si>
  <si>
    <t>Breath Analyzer</t>
  </si>
  <si>
    <t>VTS-4G</t>
  </si>
  <si>
    <t>Panic Button</t>
  </si>
  <si>
    <t>TFT Display 28"</t>
  </si>
  <si>
    <t>UPS</t>
  </si>
  <si>
    <t xml:space="preserve">Total </t>
  </si>
  <si>
    <t>#</t>
  </si>
  <si>
    <t>Quarter</t>
  </si>
  <si>
    <t>Delivery in month</t>
  </si>
  <si>
    <t>A</t>
  </si>
  <si>
    <t>B</t>
  </si>
  <si>
    <t>C</t>
  </si>
  <si>
    <t>D</t>
  </si>
  <si>
    <t>TML - PM eDrive</t>
  </si>
  <si>
    <t>PMPML</t>
  </si>
  <si>
    <t>Amnex-AJL-AMTS</t>
  </si>
  <si>
    <t>Front/ Side/Rear LED destination Board BD900</t>
  </si>
  <si>
    <t>5MP IP camera -STQC-CP Plus</t>
  </si>
  <si>
    <t>Wiring Harness - 9M-ITS</t>
  </si>
  <si>
    <r>
      <rPr>
        <sz val="11"/>
        <color rgb="FF000000"/>
        <rFont val="Calibri"/>
        <family val="2"/>
      </rPr>
      <t>"</t>
    </r>
    <r>
      <rPr>
        <sz val="11"/>
        <color rgb="FFFF0000"/>
        <rFont val="Calibri"/>
        <family val="2"/>
      </rPr>
      <t>RED</t>
    </r>
    <r>
      <rPr>
        <sz val="11"/>
        <color rgb="FF000000"/>
        <rFont val="Calibri"/>
        <family val="2"/>
      </rPr>
      <t>" Indicates Delivered</t>
    </r>
  </si>
  <si>
    <t>Customer Name</t>
  </si>
  <si>
    <t xml:space="preserve">Project </t>
  </si>
  <si>
    <t>Sales person</t>
  </si>
  <si>
    <t>Segment</t>
  </si>
  <si>
    <t>Product</t>
  </si>
  <si>
    <t>Month</t>
  </si>
  <si>
    <t>Per kit /Bus value</t>
  </si>
  <si>
    <t>Order Qty</t>
  </si>
  <si>
    <t>Total value</t>
  </si>
  <si>
    <t>Order (Y/N)</t>
  </si>
  <si>
    <t>Order in Hand  Qty</t>
  </si>
  <si>
    <t>Delivery schedule</t>
  </si>
  <si>
    <t>BOM</t>
  </si>
  <si>
    <t>Remarks</t>
  </si>
  <si>
    <t>Value</t>
  </si>
  <si>
    <t>BJ</t>
  </si>
  <si>
    <t>Bus</t>
  </si>
  <si>
    <t>ITS kit &amp; BSD</t>
  </si>
  <si>
    <t>N</t>
  </si>
  <si>
    <t>NMMT not in our favour. Can consider Order Lost</t>
  </si>
  <si>
    <t>AMTS-AJL</t>
  </si>
  <si>
    <t>ITS Kit &amp; BSD</t>
  </si>
  <si>
    <t>Y</t>
  </si>
  <si>
    <t>620 ITS in Feb and 50 Bus Stop Display in March</t>
  </si>
  <si>
    <t>620 UPS in Feb</t>
  </si>
  <si>
    <t>ITS kit</t>
  </si>
  <si>
    <t>Order received for 30 in Jan. 15 in Jan &amp; 15 in Feb. Balance Order for 45 expected in Feb. 2026</t>
  </si>
  <si>
    <t>Daga Procon</t>
  </si>
  <si>
    <t>Indian Army</t>
  </si>
  <si>
    <t>Order shifted to February 2026. Expected Deliveries in Feb &amp; March</t>
  </si>
  <si>
    <t>Order Received in Jan-26 for 23 nos-proto</t>
  </si>
  <si>
    <t>Aeroeagle</t>
  </si>
  <si>
    <t>Order received for 170. Jan 50 Nos., Feb. 50 Nos. &amp; March 70 Nos.</t>
  </si>
  <si>
    <t>JSW staff bus</t>
  </si>
  <si>
    <t>Order quantity revised to 50. Order expected only in March 2026</t>
  </si>
  <si>
    <t>Eka</t>
  </si>
  <si>
    <t>CESL-9M</t>
  </si>
  <si>
    <t>Order received in Dec. 2025.</t>
  </si>
  <si>
    <t>LTTS</t>
  </si>
  <si>
    <t>CMRL ASA08</t>
  </si>
  <si>
    <t>Metro</t>
  </si>
  <si>
    <t>PIDS</t>
  </si>
  <si>
    <t>Delivery in Feb. 2026</t>
  </si>
  <si>
    <t>TGSRTC</t>
  </si>
  <si>
    <t>OWN</t>
  </si>
  <si>
    <t>KM</t>
  </si>
  <si>
    <t>Order Recvd. for 194.30 Dispatched. 164 pending &amp; will be dispatched in Jan 26</t>
  </si>
  <si>
    <t>Tata</t>
  </si>
  <si>
    <t>ITS-kit</t>
  </si>
  <si>
    <t>65 Kits supplied. 85 Nos. scheduled to be dispatched in January 26. Now on hold &amp; exp. to be dispatched in March 26.</t>
  </si>
  <si>
    <t>Tata - Lucknow</t>
  </si>
  <si>
    <t>IOF Pending for WH clearity. Exp. to be finalised in Feb 26. Deliveries exp. in Mar 26</t>
  </si>
  <si>
    <t>AL</t>
  </si>
  <si>
    <t>MSRTC</t>
  </si>
  <si>
    <t>Exp. wk. of 14th Jan. 26. Available info for delivery is 10 in Feb &amp; 400 in Feb. &amp; Mar. 26 and 490 by april 2026 as per mail received from AL Sarkaranand Swarup Satsangi Head Program</t>
  </si>
  <si>
    <t xml:space="preserve">Discussions on going. Approx. schedule provided by TML and we plan accordingly. </t>
  </si>
  <si>
    <t>Force</t>
  </si>
  <si>
    <t>Staff Bus</t>
  </si>
  <si>
    <t>Order will be received. Proto kit and delivery shifted to Feb. 2026</t>
  </si>
  <si>
    <t>TML has been asked to go ahead with the Project. Deliveries expected in Feb. &amp; March 26.</t>
  </si>
  <si>
    <t>No discussions with Ashok Leyland. F/u to continue.</t>
  </si>
  <si>
    <t>Neuton</t>
  </si>
  <si>
    <t>PMC-Waste vehicle</t>
  </si>
  <si>
    <t>KSRTC</t>
  </si>
  <si>
    <t>Offer submitted. Being followed up. Probably next year</t>
  </si>
  <si>
    <t>TMT</t>
  </si>
  <si>
    <t>Intercity Bus</t>
  </si>
  <si>
    <t>On Hold.</t>
  </si>
  <si>
    <t>NWKRTC</t>
  </si>
  <si>
    <t>Twin Greentech</t>
  </si>
  <si>
    <t>Expected in March 2026</t>
  </si>
  <si>
    <t>CESL DELHI 9M</t>
  </si>
  <si>
    <t>SM</t>
  </si>
  <si>
    <t>CESL DELHI 12M</t>
  </si>
  <si>
    <t>BMMS</t>
  </si>
  <si>
    <t>RSRTC</t>
  </si>
  <si>
    <t>DISPLAY BOARD</t>
  </si>
  <si>
    <t>Order expected 14th Jan. 200 to be dispatched in Feb. 26</t>
  </si>
  <si>
    <t>SCHOOL BUS</t>
  </si>
  <si>
    <t>ITS KIT</t>
  </si>
  <si>
    <t>BUS</t>
  </si>
  <si>
    <t>ASIA MANUFACTURERS</t>
  </si>
  <si>
    <t>SOR</t>
  </si>
  <si>
    <t xml:space="preserve">SML </t>
  </si>
  <si>
    <t>Display Board</t>
  </si>
  <si>
    <t>TOTAL</t>
  </si>
  <si>
    <t>Offer, Compliance sent. This project is for all future orders from AL for Price &amp; Part Nos. being discussed.</t>
  </si>
  <si>
    <t>Tata Motors Limited, Dharwad</t>
  </si>
  <si>
    <t>PM eDrive</t>
  </si>
  <si>
    <t>Order Expected in June. Execution expected July onwards</t>
  </si>
  <si>
    <t>Order Expected Month Wise</t>
  </si>
  <si>
    <t xml:space="preserve">WIP </t>
  </si>
  <si>
    <t>Order schedule Expected</t>
  </si>
  <si>
    <t xml:space="preserve">TOTAL JAN </t>
  </si>
  <si>
    <t>TOTAL FEB</t>
  </si>
  <si>
    <t>TOTAL March</t>
  </si>
  <si>
    <t>TOTAL April</t>
  </si>
  <si>
    <t>Execution Schedule as of 07-02-2026</t>
  </si>
  <si>
    <t>Sr. No.</t>
  </si>
  <si>
    <t>Customer</t>
  </si>
  <si>
    <t>End User</t>
  </si>
  <si>
    <t>Qty.</t>
  </si>
  <si>
    <t>Project Value (Price)</t>
  </si>
  <si>
    <t>Order</t>
  </si>
  <si>
    <t>19/1/2026</t>
  </si>
  <si>
    <t>Eka Mobility</t>
  </si>
  <si>
    <t>y</t>
  </si>
  <si>
    <t>Camera issue. Material ready 50. 150 under WIP.</t>
  </si>
  <si>
    <t>BEST</t>
  </si>
  <si>
    <t>Will be dispatched</t>
  </si>
  <si>
    <t>Dispatched</t>
  </si>
  <si>
    <t xml:space="preserve">30 will be dispatched. Balance confirmation awaited. </t>
  </si>
  <si>
    <t>50 Dispatched without Carmear's &amp; WH.</t>
  </si>
  <si>
    <t xml:space="preserve">School Bus </t>
  </si>
  <si>
    <t xml:space="preserve">8 Dispatched. 8 Sets WH this week. </t>
  </si>
  <si>
    <t>CRUT-9M</t>
  </si>
  <si>
    <t>50 Sets billed in Sept., Will be reversed and 50 Sets will be dispatched in Jan end to include the scheduled 11 Sets.</t>
  </si>
  <si>
    <t>Will be ready by 25-01-26. And will be sent in January 2026. Delivery schdule received from KM 30-50 sets by 18-20 Jan 2026</t>
  </si>
  <si>
    <t>Antony Garage</t>
  </si>
  <si>
    <t>Order revd. in Dec. 26. Will be dispatched</t>
  </si>
  <si>
    <t>Material ready. Waiting Commercial clearance and will be dispatched in January 2026</t>
  </si>
  <si>
    <t>Order in Jan. 2026. delivery may shift in Feb</t>
  </si>
  <si>
    <t>Material under WIP. Should be able to dispatch in Jan 2026</t>
  </si>
  <si>
    <t>Army</t>
  </si>
  <si>
    <t>TML - PUNE</t>
  </si>
  <si>
    <t>RND</t>
  </si>
  <si>
    <t>TML - DHARWAD</t>
  </si>
  <si>
    <t>BSRTC/CESL</t>
  </si>
  <si>
    <t>TML - LKO</t>
  </si>
  <si>
    <t>MEGHLAYA</t>
  </si>
  <si>
    <t>VECV</t>
  </si>
  <si>
    <t>DAGA PROCON</t>
  </si>
  <si>
    <t>SERVICE</t>
  </si>
  <si>
    <t>SPARES</t>
  </si>
  <si>
    <t>Total</t>
  </si>
  <si>
    <t xml:space="preserve">Order recvd. </t>
  </si>
  <si>
    <t xml:space="preserve">Hikvision Camera's - Manish pushing to get them. CB &amp; all will visit Eka to get ECN for center hole. </t>
  </si>
  <si>
    <t>Order in Jan. 2026</t>
  </si>
  <si>
    <t>Order not yet received</t>
  </si>
  <si>
    <t>Will be dispatched this week</t>
  </si>
  <si>
    <t>Material ready. Clearance awaited. Oushed from Jan to Feb.</t>
  </si>
  <si>
    <t>Material ready. Clearance awaited. Pushed from Jan to Feb.</t>
  </si>
  <si>
    <t>School Bus</t>
  </si>
  <si>
    <t>IOF yet to receive</t>
  </si>
  <si>
    <t>Order in Jan. 2026 for 100 Kits received pending 105 order in Feb 2026 and delivery of 25 kits in feb only</t>
  </si>
  <si>
    <t>50 Kits to be dispatched in Feb. 2026</t>
  </si>
  <si>
    <t xml:space="preserve">50 Kits to be dispatched in Feb. 2026. Around 20th Feb. </t>
  </si>
  <si>
    <t>Railway</t>
  </si>
  <si>
    <t>Balance 38 estimated in March 2026</t>
  </si>
  <si>
    <t>15 Dispatched. Balance 33 estimated in March 2026</t>
  </si>
  <si>
    <t>TML</t>
  </si>
  <si>
    <t>Half of the Revenue is from this. Have to push for TML deliveries</t>
  </si>
  <si>
    <t>We wait for the PO</t>
  </si>
  <si>
    <t>RSRTC-TGSRTC-BMMS</t>
  </si>
  <si>
    <t>Will be dispatched this month end</t>
  </si>
  <si>
    <t>Order in Jan. 202. Orde received fro 2 Proto 100 Nos post confirmation from customer</t>
  </si>
  <si>
    <t>2 Supplied. Difficult to supply 100 in Feb as no order and China closed</t>
  </si>
  <si>
    <t xml:space="preserve">Order in Feb 2026 </t>
  </si>
  <si>
    <t>5 Supplied. 10 to be supplied by month end.</t>
  </si>
  <si>
    <t>Planned for 10th Feb. 2026</t>
  </si>
  <si>
    <t xml:space="preserve">Dispatched. </t>
  </si>
  <si>
    <t xml:space="preserve">AJL-ITS </t>
  </si>
  <si>
    <t>Order Expected in 2nd week of Feb</t>
  </si>
  <si>
    <t>SML</t>
  </si>
  <si>
    <t>Order Rcvd. Addl/ qty. order to be checked.</t>
  </si>
  <si>
    <t>Jan End</t>
  </si>
  <si>
    <t>AJL-BSD</t>
  </si>
  <si>
    <t>AJL-UPS</t>
  </si>
  <si>
    <t xml:space="preserve">TML  </t>
  </si>
  <si>
    <t>Exp. to be delivered in Mar 26</t>
  </si>
  <si>
    <t>CMRL 08</t>
  </si>
  <si>
    <t>PMC-Waste Vehicle</t>
  </si>
  <si>
    <t>70 Kits to be dispatched in March 2026</t>
  </si>
  <si>
    <t>Hindustan ZInc</t>
  </si>
  <si>
    <t>HY Figures (Only Sales)</t>
  </si>
  <si>
    <t>Q3 Till Date 31/12</t>
  </si>
  <si>
    <t>Q3 Completed</t>
  </si>
  <si>
    <t xml:space="preserve">HY + Q3 Total </t>
  </si>
  <si>
    <t>Q4 Total Expected</t>
  </si>
  <si>
    <t>FY Total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</si>
</sst>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_ * #,##0_ ;_ * \-#,##0_ ;_ * &quot;-&quot;??_ ;_ @_ "/>
  </numFmts>
  <fonts count="33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charset val="134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3986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4096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986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4096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rgb="FF3986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164" fontId="2" fillId="0" borderId="0" applyFont="0" applyFill="0" applyBorder="0" applyAlignment="0" applyProtection="0"/>
  </cellStyleXfs>
  <cellXfs count="404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1" fontId="6" fillId="2" borderId="4" xfId="0" applyNumberFormat="1" applyFont="1" applyFill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5" fillId="0" borderId="4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vertical="top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/>
    </xf>
    <xf numFmtId="0" fontId="7" fillId="3" borderId="4" xfId="1" applyNumberFormat="1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left" vertical="center"/>
    </xf>
    <xf numFmtId="0" fontId="8" fillId="0" borderId="4" xfId="3" applyFont="1" applyBorder="1" applyAlignment="1">
      <alignment horizontal="left" vertical="center"/>
    </xf>
    <xf numFmtId="0" fontId="5" fillId="2" borderId="4" xfId="1" applyNumberFormat="1" applyFont="1" applyFill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top"/>
    </xf>
    <xf numFmtId="0" fontId="9" fillId="0" borderId="4" xfId="4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top"/>
    </xf>
    <xf numFmtId="165" fontId="6" fillId="4" borderId="4" xfId="1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vertical="top"/>
    </xf>
    <xf numFmtId="1" fontId="5" fillId="0" borderId="0" xfId="0" applyNumberFormat="1" applyFont="1" applyAlignment="1">
      <alignment horizontal="center" vertical="center"/>
    </xf>
    <xf numFmtId="1" fontId="5" fillId="2" borderId="4" xfId="0" applyNumberFormat="1" applyFont="1" applyFill="1" applyBorder="1" applyAlignment="1">
      <alignment horizontal="center" vertical="center" wrapText="1"/>
    </xf>
    <xf numFmtId="1" fontId="5" fillId="2" borderId="4" xfId="1" applyNumberFormat="1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center"/>
    </xf>
    <xf numFmtId="165" fontId="5" fillId="2" borderId="4" xfId="1" applyNumberFormat="1" applyFont="1" applyFill="1" applyBorder="1" applyAlignment="1">
      <alignment horizontal="right" vertical="center"/>
    </xf>
    <xf numFmtId="165" fontId="5" fillId="2" borderId="4" xfId="1" applyNumberFormat="1" applyFont="1" applyFill="1" applyBorder="1" applyAlignment="1">
      <alignment horizontal="center" vertical="center"/>
    </xf>
    <xf numFmtId="165" fontId="6" fillId="4" borderId="4" xfId="1" applyNumberFormat="1" applyFont="1" applyFill="1" applyBorder="1" applyAlignment="1">
      <alignment vertical="top"/>
    </xf>
    <xf numFmtId="165" fontId="6" fillId="2" borderId="0" xfId="1" applyNumberFormat="1" applyFont="1" applyFill="1" applyAlignment="1">
      <alignment vertical="top"/>
    </xf>
    <xf numFmtId="165" fontId="6" fillId="2" borderId="0" xfId="1" applyNumberFormat="1" applyFont="1" applyFill="1" applyAlignment="1">
      <alignment horizontal="right" vertical="center"/>
    </xf>
    <xf numFmtId="165" fontId="5" fillId="0" borderId="4" xfId="1" applyNumberFormat="1" applyFont="1" applyFill="1" applyBorder="1" applyAlignment="1">
      <alignment horizontal="right" vertical="center"/>
    </xf>
    <xf numFmtId="165" fontId="5" fillId="0" borderId="4" xfId="1" applyNumberFormat="1" applyFont="1" applyBorder="1" applyAlignment="1">
      <alignment horizontal="right" vertical="center"/>
    </xf>
    <xf numFmtId="165" fontId="6" fillId="4" borderId="4" xfId="1" applyNumberFormat="1" applyFont="1" applyFill="1" applyBorder="1" applyAlignment="1">
      <alignment horizontal="right" vertical="top"/>
    </xf>
    <xf numFmtId="165" fontId="6" fillId="2" borderId="0" xfId="1" applyNumberFormat="1" applyFont="1" applyFill="1" applyAlignment="1">
      <alignment horizontal="right" vertical="top"/>
    </xf>
    <xf numFmtId="165" fontId="6" fillId="2" borderId="4" xfId="1" applyNumberFormat="1" applyFont="1" applyFill="1" applyBorder="1" applyAlignment="1">
      <alignment horizontal="center" vertical="center"/>
    </xf>
    <xf numFmtId="165" fontId="5" fillId="2" borderId="4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top"/>
    </xf>
    <xf numFmtId="0" fontId="6" fillId="2" borderId="4" xfId="0" applyFont="1" applyFill="1" applyBorder="1" applyAlignment="1">
      <alignment horizontal="center" vertical="top"/>
    </xf>
    <xf numFmtId="165" fontId="6" fillId="2" borderId="4" xfId="1" applyNumberFormat="1" applyFont="1" applyFill="1" applyBorder="1" applyAlignment="1">
      <alignment horizontal="right" vertical="top"/>
    </xf>
    <xf numFmtId="165" fontId="6" fillId="2" borderId="4" xfId="1" applyNumberFormat="1" applyFont="1" applyFill="1" applyBorder="1" applyAlignment="1">
      <alignment vertical="top"/>
    </xf>
    <xf numFmtId="0" fontId="5" fillId="0" borderId="4" xfId="0" applyFont="1" applyBorder="1" applyAlignment="1">
      <alignment vertical="center"/>
    </xf>
    <xf numFmtId="17" fontId="5" fillId="0" borderId="4" xfId="0" applyNumberFormat="1" applyFont="1" applyBorder="1" applyAlignment="1">
      <alignment horizontal="left" vertical="center"/>
    </xf>
    <xf numFmtId="165" fontId="5" fillId="0" borderId="4" xfId="1" applyNumberFormat="1" applyFont="1" applyBorder="1" applyAlignment="1">
      <alignment horizontal="right" vertical="top"/>
    </xf>
    <xf numFmtId="165" fontId="5" fillId="0" borderId="4" xfId="1" applyNumberFormat="1" applyFont="1" applyBorder="1" applyAlignment="1">
      <alignment vertical="top"/>
    </xf>
    <xf numFmtId="0" fontId="2" fillId="0" borderId="0" xfId="6"/>
    <xf numFmtId="1" fontId="6" fillId="4" borderId="4" xfId="0" applyNumberFormat="1" applyFont="1" applyFill="1" applyBorder="1" applyAlignment="1">
      <alignment horizontal="center" vertical="center" wrapText="1"/>
    </xf>
    <xf numFmtId="0" fontId="6" fillId="4" borderId="4" xfId="1" applyNumberFormat="1" applyFont="1" applyFill="1" applyBorder="1" applyAlignment="1">
      <alignment horizontal="center" vertical="center"/>
    </xf>
    <xf numFmtId="0" fontId="6" fillId="2" borderId="4" xfId="1" applyNumberFormat="1" applyFont="1" applyFill="1" applyBorder="1" applyAlignment="1">
      <alignment horizontal="center" vertical="center"/>
    </xf>
    <xf numFmtId="0" fontId="6" fillId="2" borderId="0" xfId="1" applyNumberFormat="1" applyFont="1" applyFill="1" applyAlignment="1">
      <alignment horizontal="center" vertical="center"/>
    </xf>
    <xf numFmtId="0" fontId="6" fillId="4" borderId="4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0" xfId="1" applyNumberFormat="1" applyFont="1" applyBorder="1" applyAlignment="1">
      <alignment horizontal="center" vertical="center"/>
    </xf>
    <xf numFmtId="43" fontId="0" fillId="0" borderId="0" xfId="0" applyNumberFormat="1"/>
    <xf numFmtId="43" fontId="6" fillId="4" borderId="4" xfId="1" applyFont="1" applyFill="1" applyBorder="1" applyAlignment="1">
      <alignment horizontal="center" vertical="center"/>
    </xf>
    <xf numFmtId="43" fontId="6" fillId="2" borderId="0" xfId="1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7" fontId="13" fillId="0" borderId="4" xfId="0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top"/>
    </xf>
    <xf numFmtId="165" fontId="13" fillId="0" borderId="4" xfId="1" applyNumberFormat="1" applyFont="1" applyBorder="1" applyAlignment="1">
      <alignment horizontal="right" vertical="top"/>
    </xf>
    <xf numFmtId="1" fontId="13" fillId="0" borderId="4" xfId="0" applyNumberFormat="1" applyFont="1" applyBorder="1" applyAlignment="1">
      <alignment horizontal="center" vertical="center"/>
    </xf>
    <xf numFmtId="165" fontId="13" fillId="0" borderId="4" xfId="1" applyNumberFormat="1" applyFont="1" applyBorder="1" applyAlignment="1">
      <alignment vertical="top"/>
    </xf>
    <xf numFmtId="0" fontId="13" fillId="0" borderId="4" xfId="0" applyFont="1" applyBorder="1" applyAlignment="1">
      <alignment vertical="top"/>
    </xf>
    <xf numFmtId="0" fontId="13" fillId="0" borderId="4" xfId="1" applyNumberFormat="1" applyFont="1" applyBorder="1" applyAlignment="1">
      <alignment horizontal="center" vertical="center"/>
    </xf>
    <xf numFmtId="0" fontId="13" fillId="0" borderId="0" xfId="0" applyFont="1" applyAlignment="1">
      <alignment vertical="top"/>
    </xf>
    <xf numFmtId="0" fontId="14" fillId="0" borderId="0" xfId="6" applyFont="1"/>
    <xf numFmtId="17" fontId="11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2" fillId="0" borderId="0" xfId="6" applyAlignment="1">
      <alignment horizontal="center" vertical="center"/>
    </xf>
    <xf numFmtId="2" fontId="2" fillId="0" borderId="0" xfId="6" applyNumberFormat="1" applyAlignment="1">
      <alignment horizontal="right" vertical="center"/>
    </xf>
    <xf numFmtId="17" fontId="2" fillId="0" borderId="5" xfId="6" applyNumberForma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0" xfId="6" applyAlignment="1">
      <alignment horizontal="left" vertical="center"/>
    </xf>
    <xf numFmtId="2" fontId="2" fillId="0" borderId="0" xfId="6" applyNumberFormat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2" fillId="0" borderId="0" xfId="6" applyAlignment="1">
      <alignment horizontal="left" vertical="center" wrapText="1"/>
    </xf>
    <xf numFmtId="17" fontId="2" fillId="0" borderId="0" xfId="6" applyNumberFormat="1" applyAlignment="1">
      <alignment horizontal="center" vertical="center"/>
    </xf>
    <xf numFmtId="17" fontId="2" fillId="0" borderId="7" xfId="6" applyNumberFormat="1" applyBorder="1" applyAlignment="1">
      <alignment horizontal="center" vertical="center"/>
    </xf>
    <xf numFmtId="0" fontId="11" fillId="5" borderId="8" xfId="6" applyFont="1" applyFill="1" applyBorder="1" applyAlignment="1">
      <alignment horizontal="center" vertical="center"/>
    </xf>
    <xf numFmtId="2" fontId="11" fillId="5" borderId="8" xfId="6" applyNumberFormat="1" applyFont="1" applyFill="1" applyBorder="1" applyAlignment="1">
      <alignment horizontal="center" vertical="center"/>
    </xf>
    <xf numFmtId="0" fontId="11" fillId="5" borderId="8" xfId="6" applyFont="1" applyFill="1" applyBorder="1" applyAlignment="1">
      <alignment horizontal="center"/>
    </xf>
    <xf numFmtId="0" fontId="4" fillId="0" borderId="8" xfId="6" applyFont="1" applyBorder="1" applyAlignment="1">
      <alignment horizontal="center" vertical="center"/>
    </xf>
    <xf numFmtId="17" fontId="11" fillId="4" borderId="8" xfId="6" applyNumberFormat="1" applyFont="1" applyFill="1" applyBorder="1" applyAlignment="1">
      <alignment horizontal="left"/>
    </xf>
    <xf numFmtId="2" fontId="4" fillId="0" borderId="8" xfId="6" applyNumberFormat="1" applyFont="1" applyBorder="1" applyAlignment="1">
      <alignment horizontal="center"/>
    </xf>
    <xf numFmtId="0" fontId="4" fillId="0" borderId="8" xfId="6" applyFont="1" applyBorder="1" applyAlignment="1">
      <alignment horizontal="center"/>
    </xf>
    <xf numFmtId="2" fontId="4" fillId="0" borderId="8" xfId="6" applyNumberFormat="1" applyFont="1" applyBorder="1" applyAlignment="1">
      <alignment horizontal="center" vertical="center"/>
    </xf>
    <xf numFmtId="0" fontId="2" fillId="0" borderId="8" xfId="6" applyBorder="1" applyAlignment="1">
      <alignment horizontal="left" vertical="center"/>
    </xf>
    <xf numFmtId="0" fontId="2" fillId="0" borderId="8" xfId="6" applyBorder="1" applyAlignment="1">
      <alignment horizontal="center" vertical="center"/>
    </xf>
    <xf numFmtId="0" fontId="2" fillId="0" borderId="8" xfId="6" applyBorder="1"/>
    <xf numFmtId="17" fontId="2" fillId="0" borderId="8" xfId="6" applyNumberFormat="1" applyBorder="1" applyAlignment="1">
      <alignment horizontal="center" vertical="center"/>
    </xf>
    <xf numFmtId="164" fontId="0" fillId="0" borderId="8" xfId="7" applyFont="1" applyBorder="1" applyAlignment="1"/>
    <xf numFmtId="0" fontId="2" fillId="0" borderId="8" xfId="6" applyBorder="1" applyAlignment="1">
      <alignment horizontal="center"/>
    </xf>
    <xf numFmtId="166" fontId="0" fillId="0" borderId="8" xfId="7" applyNumberFormat="1" applyFont="1" applyBorder="1" applyAlignment="1"/>
    <xf numFmtId="166" fontId="0" fillId="0" borderId="8" xfId="7" applyNumberFormat="1" applyFont="1" applyBorder="1" applyAlignment="1">
      <alignment horizontal="center" vertical="center"/>
    </xf>
    <xf numFmtId="43" fontId="2" fillId="0" borderId="8" xfId="6" applyNumberFormat="1" applyBorder="1"/>
    <xf numFmtId="1" fontId="2" fillId="0" borderId="8" xfId="6" applyNumberFormat="1" applyBorder="1" applyAlignment="1">
      <alignment horizontal="center"/>
    </xf>
    <xf numFmtId="0" fontId="0" fillId="0" borderId="8" xfId="7" applyNumberFormat="1" applyFont="1" applyBorder="1" applyAlignment="1">
      <alignment horizontal="center" vertical="center"/>
    </xf>
    <xf numFmtId="164" fontId="0" fillId="0" borderId="8" xfId="7" applyFont="1" applyBorder="1" applyAlignment="1">
      <alignment horizontal="right" vertical="center"/>
    </xf>
    <xf numFmtId="166" fontId="0" fillId="0" borderId="8" xfId="7" applyNumberFormat="1" applyFont="1" applyBorder="1" applyAlignment="1">
      <alignment horizontal="right" vertical="center"/>
    </xf>
    <xf numFmtId="0" fontId="2" fillId="2" borderId="8" xfId="6" applyFill="1" applyBorder="1" applyAlignment="1">
      <alignment horizontal="left" vertical="center"/>
    </xf>
    <xf numFmtId="0" fontId="2" fillId="4" borderId="8" xfId="6" applyFill="1" applyBorder="1" applyAlignment="1">
      <alignment horizontal="center"/>
    </xf>
    <xf numFmtId="0" fontId="0" fillId="0" borderId="8" xfId="6" applyFont="1" applyBorder="1" applyAlignment="1">
      <alignment horizontal="center" vertical="center"/>
    </xf>
    <xf numFmtId="17" fontId="0" fillId="0" borderId="8" xfId="6" applyNumberFormat="1" applyFont="1" applyBorder="1" applyAlignment="1">
      <alignment horizontal="center" vertical="center"/>
    </xf>
    <xf numFmtId="0" fontId="4" fillId="4" borderId="8" xfId="6" applyFont="1" applyFill="1" applyBorder="1" applyAlignment="1">
      <alignment horizontal="left"/>
    </xf>
    <xf numFmtId="166" fontId="4" fillId="4" borderId="8" xfId="7" applyNumberFormat="1" applyFont="1" applyFill="1" applyBorder="1" applyAlignment="1"/>
    <xf numFmtId="166" fontId="4" fillId="0" borderId="8" xfId="7" applyNumberFormat="1" applyFont="1" applyBorder="1" applyAlignment="1">
      <alignment horizontal="center" vertical="center"/>
    </xf>
    <xf numFmtId="166" fontId="4" fillId="0" borderId="8" xfId="7" applyNumberFormat="1" applyFont="1" applyBorder="1" applyAlignment="1"/>
    <xf numFmtId="0" fontId="4" fillId="4" borderId="8" xfId="6" applyFont="1" applyFill="1" applyBorder="1" applyAlignment="1">
      <alignment horizontal="center"/>
    </xf>
    <xf numFmtId="17" fontId="11" fillId="0" borderId="8" xfId="6" applyNumberFormat="1" applyFont="1" applyBorder="1" applyAlignment="1">
      <alignment horizontal="left"/>
    </xf>
    <xf numFmtId="0" fontId="2" fillId="2" borderId="8" xfId="6" applyFill="1" applyBorder="1" applyAlignment="1">
      <alignment horizontal="center" vertical="center"/>
    </xf>
    <xf numFmtId="17" fontId="11" fillId="0" borderId="8" xfId="6" applyNumberFormat="1" applyFont="1" applyBorder="1" applyAlignment="1">
      <alignment horizontal="left" vertical="center"/>
    </xf>
    <xf numFmtId="0" fontId="16" fillId="0" borderId="8" xfId="6" applyFont="1" applyBorder="1" applyAlignment="1">
      <alignment horizontal="left" vertical="center"/>
    </xf>
    <xf numFmtId="0" fontId="17" fillId="4" borderId="8" xfId="6" applyFont="1" applyFill="1" applyBorder="1" applyAlignment="1">
      <alignment horizontal="center" vertical="center"/>
    </xf>
    <xf numFmtId="17" fontId="11" fillId="4" borderId="8" xfId="6" applyNumberFormat="1" applyFont="1" applyFill="1" applyBorder="1" applyAlignment="1">
      <alignment horizontal="left" vertical="center"/>
    </xf>
    <xf numFmtId="0" fontId="11" fillId="5" borderId="8" xfId="6" applyFont="1" applyFill="1" applyBorder="1" applyAlignment="1">
      <alignment horizontal="left" vertical="center"/>
    </xf>
    <xf numFmtId="2" fontId="11" fillId="5" borderId="8" xfId="6" applyNumberFormat="1" applyFont="1" applyFill="1" applyBorder="1" applyAlignment="1">
      <alignment horizontal="right" vertical="center"/>
    </xf>
    <xf numFmtId="43" fontId="0" fillId="0" borderId="8" xfId="7" applyNumberFormat="1" applyFont="1" applyBorder="1" applyAlignment="1">
      <alignment horizontal="right" vertical="center"/>
    </xf>
    <xf numFmtId="43" fontId="0" fillId="0" borderId="8" xfId="7" applyNumberFormat="1" applyFont="1" applyBorder="1" applyAlignment="1"/>
    <xf numFmtId="0" fontId="4" fillId="4" borderId="8" xfId="6" applyFont="1" applyFill="1" applyBorder="1" applyAlignment="1">
      <alignment horizontal="left" vertical="center"/>
    </xf>
    <xf numFmtId="0" fontId="2" fillId="0" borderId="8" xfId="6" applyBorder="1" applyAlignment="1">
      <alignment horizontal="center" vertical="center" indent="1"/>
    </xf>
    <xf numFmtId="0" fontId="11" fillId="5" borderId="12" xfId="6" applyFont="1" applyFill="1" applyBorder="1" applyAlignment="1">
      <alignment horizontal="center" vertical="center"/>
    </xf>
    <xf numFmtId="0" fontId="4" fillId="0" borderId="12" xfId="6" applyFont="1" applyBorder="1" applyAlignment="1">
      <alignment horizontal="center" vertical="center"/>
    </xf>
    <xf numFmtId="0" fontId="2" fillId="0" borderId="12" xfId="6" applyBorder="1" applyAlignment="1">
      <alignment horizontal="center" vertical="center"/>
    </xf>
    <xf numFmtId="0" fontId="2" fillId="0" borderId="13" xfId="6" applyBorder="1" applyAlignment="1">
      <alignment horizontal="left" vertical="center" wrapText="1"/>
    </xf>
    <xf numFmtId="0" fontId="14" fillId="5" borderId="13" xfId="6" applyFont="1" applyFill="1" applyBorder="1" applyAlignment="1">
      <alignment horizontal="left" vertical="center" wrapText="1"/>
    </xf>
    <xf numFmtId="0" fontId="2" fillId="0" borderId="14" xfId="6" applyBorder="1" applyAlignment="1">
      <alignment horizontal="center" vertical="center"/>
    </xf>
    <xf numFmtId="0" fontId="4" fillId="4" borderId="15" xfId="6" applyFont="1" applyFill="1" applyBorder="1" applyAlignment="1">
      <alignment horizontal="left" vertical="center"/>
    </xf>
    <xf numFmtId="0" fontId="2" fillId="0" borderId="15" xfId="6" applyBorder="1" applyAlignment="1">
      <alignment horizontal="center" vertical="center"/>
    </xf>
    <xf numFmtId="17" fontId="2" fillId="0" borderId="15" xfId="6" applyNumberFormat="1" applyBorder="1" applyAlignment="1">
      <alignment horizontal="center" vertical="center"/>
    </xf>
    <xf numFmtId="164" fontId="0" fillId="0" borderId="15" xfId="7" applyFont="1" applyBorder="1" applyAlignment="1">
      <alignment horizontal="right" vertical="center"/>
    </xf>
    <xf numFmtId="166" fontId="0" fillId="0" borderId="15" xfId="7" applyNumberFormat="1" applyFont="1" applyBorder="1" applyAlignment="1">
      <alignment horizontal="center" vertical="center"/>
    </xf>
    <xf numFmtId="0" fontId="0" fillId="0" borderId="15" xfId="7" applyNumberFormat="1" applyFont="1" applyBorder="1" applyAlignment="1">
      <alignment horizontal="center" vertical="center"/>
    </xf>
    <xf numFmtId="0" fontId="2" fillId="0" borderId="16" xfId="6" applyBorder="1" applyAlignment="1">
      <alignment horizontal="left" vertical="center" wrapText="1"/>
    </xf>
    <xf numFmtId="43" fontId="11" fillId="5" borderId="8" xfId="6" applyNumberFormat="1" applyFont="1" applyFill="1" applyBorder="1" applyAlignment="1">
      <alignment horizontal="right" vertical="center"/>
    </xf>
    <xf numFmtId="43" fontId="2" fillId="0" borderId="0" xfId="6" applyNumberFormat="1" applyAlignment="1">
      <alignment horizontal="right" vertical="center"/>
    </xf>
    <xf numFmtId="43" fontId="2" fillId="2" borderId="8" xfId="6" applyNumberFormat="1" applyFill="1" applyBorder="1" applyAlignment="1">
      <alignment horizontal="center" vertical="center"/>
    </xf>
    <xf numFmtId="43" fontId="2" fillId="0" borderId="8" xfId="6" applyNumberFormat="1" applyBorder="1" applyAlignment="1">
      <alignment horizontal="center" vertical="center"/>
    </xf>
    <xf numFmtId="0" fontId="2" fillId="0" borderId="0" xfId="6" applyAlignment="1">
      <alignment vertical="center"/>
    </xf>
    <xf numFmtId="166" fontId="0" fillId="0" borderId="8" xfId="7" applyNumberFormat="1" applyFont="1" applyBorder="1" applyAlignment="1">
      <alignment vertical="center"/>
    </xf>
    <xf numFmtId="43" fontId="2" fillId="2" borderId="8" xfId="6" applyNumberFormat="1" applyFill="1" applyBorder="1" applyAlignment="1">
      <alignment vertical="center"/>
    </xf>
    <xf numFmtId="43" fontId="2" fillId="0" borderId="8" xfId="6" applyNumberFormat="1" applyBorder="1" applyAlignment="1">
      <alignment vertical="center"/>
    </xf>
    <xf numFmtId="43" fontId="0" fillId="0" borderId="8" xfId="7" applyNumberFormat="1" applyFont="1" applyBorder="1" applyAlignment="1">
      <alignment vertical="center"/>
    </xf>
    <xf numFmtId="166" fontId="0" fillId="0" borderId="15" xfId="7" applyNumberFormat="1" applyFont="1" applyBorder="1" applyAlignment="1">
      <alignment vertical="center"/>
    </xf>
    <xf numFmtId="43" fontId="0" fillId="0" borderId="15" xfId="7" applyNumberFormat="1" applyFont="1" applyBorder="1" applyAlignment="1">
      <alignment vertical="center"/>
    </xf>
    <xf numFmtId="43" fontId="2" fillId="0" borderId="0" xfId="6" applyNumberFormat="1" applyAlignment="1">
      <alignment vertical="center"/>
    </xf>
    <xf numFmtId="0" fontId="2" fillId="0" borderId="17" xfId="6" applyBorder="1" applyAlignment="1">
      <alignment horizontal="center" vertical="center"/>
    </xf>
    <xf numFmtId="0" fontId="2" fillId="0" borderId="18" xfId="6" applyBorder="1" applyAlignment="1">
      <alignment horizontal="left" vertical="center"/>
    </xf>
    <xf numFmtId="0" fontId="2" fillId="0" borderId="18" xfId="6" applyBorder="1" applyAlignment="1">
      <alignment horizontal="center" vertical="center"/>
    </xf>
    <xf numFmtId="0" fontId="2" fillId="0" borderId="19" xfId="6" applyBorder="1" applyAlignment="1">
      <alignment horizontal="left" vertical="center"/>
    </xf>
    <xf numFmtId="0" fontId="2" fillId="0" borderId="19" xfId="6" applyBorder="1" applyAlignment="1">
      <alignment horizontal="center" vertical="center"/>
    </xf>
    <xf numFmtId="0" fontId="7" fillId="0" borderId="8" xfId="0" applyFont="1" applyBorder="1"/>
    <xf numFmtId="0" fontId="0" fillId="0" borderId="20" xfId="0" applyBorder="1" applyAlignment="1">
      <alignment horizontal="center"/>
    </xf>
    <xf numFmtId="0" fontId="6" fillId="4" borderId="2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0" fillId="6" borderId="21" xfId="0" applyFill="1" applyBorder="1"/>
    <xf numFmtId="0" fontId="12" fillId="0" borderId="12" xfId="6" applyFont="1" applyBorder="1" applyAlignment="1">
      <alignment horizontal="center" vertical="center"/>
    </xf>
    <xf numFmtId="0" fontId="12" fillId="0" borderId="8" xfId="6" applyFont="1" applyBorder="1"/>
    <xf numFmtId="0" fontId="12" fillId="0" borderId="8" xfId="6" applyFont="1" applyBorder="1" applyAlignment="1">
      <alignment horizontal="center" vertical="center"/>
    </xf>
    <xf numFmtId="17" fontId="12" fillId="0" borderId="8" xfId="6" applyNumberFormat="1" applyFont="1" applyBorder="1" applyAlignment="1">
      <alignment horizontal="center" vertical="center"/>
    </xf>
    <xf numFmtId="164" fontId="12" fillId="0" borderId="8" xfId="7" applyFont="1" applyBorder="1" applyAlignment="1"/>
    <xf numFmtId="0" fontId="12" fillId="0" borderId="8" xfId="6" applyFont="1" applyBorder="1" applyAlignment="1">
      <alignment horizontal="center"/>
    </xf>
    <xf numFmtId="43" fontId="12" fillId="0" borderId="8" xfId="7" applyNumberFormat="1" applyFont="1" applyBorder="1" applyAlignment="1"/>
    <xf numFmtId="166" fontId="12" fillId="0" borderId="8" xfId="7" applyNumberFormat="1" applyFont="1" applyBorder="1" applyAlignment="1">
      <alignment horizontal="center" vertical="center"/>
    </xf>
    <xf numFmtId="166" fontId="12" fillId="0" borderId="8" xfId="7" applyNumberFormat="1" applyFont="1" applyBorder="1" applyAlignment="1"/>
    <xf numFmtId="43" fontId="12" fillId="0" borderId="8" xfId="6" applyNumberFormat="1" applyFont="1" applyBorder="1" applyAlignment="1">
      <alignment vertical="center"/>
    </xf>
    <xf numFmtId="43" fontId="12" fillId="0" borderId="8" xfId="6" applyNumberFormat="1" applyFont="1" applyBorder="1"/>
    <xf numFmtId="0" fontId="20" fillId="0" borderId="8" xfId="6" applyFont="1" applyBorder="1" applyAlignment="1">
      <alignment horizontal="left" vertical="center"/>
    </xf>
    <xf numFmtId="0" fontId="20" fillId="0" borderId="8" xfId="6" applyFont="1" applyBorder="1" applyAlignment="1">
      <alignment horizontal="center" vertical="center"/>
    </xf>
    <xf numFmtId="17" fontId="20" fillId="0" borderId="8" xfId="6" applyNumberFormat="1" applyFont="1" applyBorder="1" applyAlignment="1">
      <alignment horizontal="center" vertical="center"/>
    </xf>
    <xf numFmtId="164" fontId="20" fillId="0" borderId="8" xfId="7" applyFont="1" applyBorder="1" applyAlignment="1">
      <alignment horizontal="right" vertical="center"/>
    </xf>
    <xf numFmtId="166" fontId="20" fillId="0" borderId="8" xfId="7" applyNumberFormat="1" applyFont="1" applyBorder="1" applyAlignment="1">
      <alignment horizontal="right" vertical="center"/>
    </xf>
    <xf numFmtId="43" fontId="12" fillId="0" borderId="8" xfId="7" applyNumberFormat="1" applyFont="1" applyBorder="1" applyAlignment="1">
      <alignment horizontal="right" vertical="center"/>
    </xf>
    <xf numFmtId="0" fontId="2" fillId="0" borderId="19" xfId="6" applyBorder="1"/>
    <xf numFmtId="166" fontId="19" fillId="0" borderId="8" xfId="7" applyNumberFormat="1" applyFont="1" applyBorder="1" applyAlignment="1"/>
    <xf numFmtId="43" fontId="19" fillId="0" borderId="8" xfId="6" applyNumberFormat="1" applyFont="1" applyBorder="1" applyAlignment="1">
      <alignment vertical="center"/>
    </xf>
    <xf numFmtId="43" fontId="19" fillId="0" borderId="8" xfId="6" applyNumberFormat="1" applyFont="1" applyBorder="1"/>
    <xf numFmtId="0" fontId="19" fillId="0" borderId="0" xfId="6" applyFont="1"/>
    <xf numFmtId="0" fontId="8" fillId="0" borderId="18" xfId="6" applyFont="1" applyBorder="1"/>
    <xf numFmtId="0" fontId="8" fillId="0" borderId="8" xfId="6" applyFont="1" applyBorder="1" applyAlignment="1">
      <alignment horizontal="center" vertical="center"/>
    </xf>
    <xf numFmtId="164" fontId="8" fillId="0" borderId="8" xfId="7" applyFont="1" applyBorder="1" applyAlignment="1"/>
    <xf numFmtId="0" fontId="8" fillId="0" borderId="8" xfId="6" applyFont="1" applyBorder="1" applyAlignment="1">
      <alignment horizontal="center"/>
    </xf>
    <xf numFmtId="43" fontId="8" fillId="0" borderId="8" xfId="7" applyNumberFormat="1" applyFont="1" applyBorder="1" applyAlignment="1"/>
    <xf numFmtId="166" fontId="8" fillId="0" borderId="8" xfId="7" applyNumberFormat="1" applyFont="1" applyBorder="1" applyAlignment="1">
      <alignment horizontal="center" vertical="center"/>
    </xf>
    <xf numFmtId="17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2" fillId="0" borderId="12" xfId="6" applyFont="1" applyBorder="1" applyAlignment="1">
      <alignment horizontal="center" vertical="center"/>
    </xf>
    <xf numFmtId="0" fontId="22" fillId="0" borderId="18" xfId="6" applyFont="1" applyBorder="1"/>
    <xf numFmtId="0" fontId="22" fillId="0" borderId="8" xfId="6" applyFont="1" applyBorder="1" applyAlignment="1">
      <alignment horizontal="center" vertical="center"/>
    </xf>
    <xf numFmtId="17" fontId="22" fillId="0" borderId="8" xfId="6" applyNumberFormat="1" applyFont="1" applyBorder="1" applyAlignment="1">
      <alignment horizontal="center" vertical="center"/>
    </xf>
    <xf numFmtId="164" fontId="22" fillId="0" borderId="8" xfId="7" applyFont="1" applyBorder="1" applyAlignment="1"/>
    <xf numFmtId="0" fontId="22" fillId="0" borderId="8" xfId="6" applyFont="1" applyBorder="1" applyAlignment="1">
      <alignment horizontal="center"/>
    </xf>
    <xf numFmtId="43" fontId="22" fillId="0" borderId="8" xfId="7" applyNumberFormat="1" applyFont="1" applyBorder="1" applyAlignment="1"/>
    <xf numFmtId="166" fontId="22" fillId="0" borderId="8" xfId="7" applyNumberFormat="1" applyFont="1" applyBorder="1" applyAlignment="1">
      <alignment horizontal="center" vertical="center"/>
    </xf>
    <xf numFmtId="166" fontId="22" fillId="0" borderId="8" xfId="7" applyNumberFormat="1" applyFont="1" applyBorder="1" applyAlignment="1"/>
    <xf numFmtId="43" fontId="22" fillId="0" borderId="8" xfId="6" applyNumberFormat="1" applyFont="1" applyBorder="1" applyAlignment="1">
      <alignment vertical="center"/>
    </xf>
    <xf numFmtId="0" fontId="22" fillId="2" borderId="8" xfId="6" applyFont="1" applyFill="1" applyBorder="1" applyAlignment="1">
      <alignment horizontal="center"/>
    </xf>
    <xf numFmtId="43" fontId="22" fillId="0" borderId="8" xfId="6" applyNumberFormat="1" applyFont="1" applyBorder="1"/>
    <xf numFmtId="0" fontId="22" fillId="0" borderId="0" xfId="6" applyFont="1"/>
    <xf numFmtId="0" fontId="22" fillId="0" borderId="24" xfId="0" applyFont="1" applyBorder="1"/>
    <xf numFmtId="0" fontId="22" fillId="0" borderId="17" xfId="6" applyFont="1" applyBorder="1" applyAlignment="1">
      <alignment horizontal="center" vertical="center"/>
    </xf>
    <xf numFmtId="0" fontId="22" fillId="0" borderId="19" xfId="6" applyFont="1" applyBorder="1"/>
    <xf numFmtId="0" fontId="22" fillId="0" borderId="8" xfId="6" applyFont="1" applyBorder="1"/>
    <xf numFmtId="0" fontId="22" fillId="0" borderId="8" xfId="6" applyFont="1" applyBorder="1" applyAlignment="1">
      <alignment horizontal="left" vertical="center"/>
    </xf>
    <xf numFmtId="164" fontId="22" fillId="0" borderId="8" xfId="7" applyFont="1" applyBorder="1" applyAlignment="1">
      <alignment horizontal="right" vertical="center"/>
    </xf>
    <xf numFmtId="166" fontId="22" fillId="0" borderId="8" xfId="7" applyNumberFormat="1" applyFont="1" applyBorder="1" applyAlignment="1">
      <alignment horizontal="right" vertical="center"/>
    </xf>
    <xf numFmtId="0" fontId="22" fillId="0" borderId="8" xfId="7" applyNumberFormat="1" applyFont="1" applyBorder="1" applyAlignment="1">
      <alignment horizontal="center" vertical="center"/>
    </xf>
    <xf numFmtId="0" fontId="22" fillId="0" borderId="13" xfId="6" applyFont="1" applyBorder="1" applyAlignment="1">
      <alignment horizontal="left" vertical="center" wrapText="1"/>
    </xf>
    <xf numFmtId="43" fontId="22" fillId="0" borderId="8" xfId="7" applyNumberFormat="1" applyFont="1" applyBorder="1" applyAlignment="1">
      <alignment horizontal="right" vertical="center"/>
    </xf>
    <xf numFmtId="0" fontId="22" fillId="2" borderId="8" xfId="6" applyFont="1" applyFill="1" applyBorder="1" applyAlignment="1">
      <alignment horizontal="center" vertical="center"/>
    </xf>
    <xf numFmtId="43" fontId="22" fillId="2" borderId="8" xfId="6" applyNumberFormat="1" applyFont="1" applyFill="1" applyBorder="1" applyAlignment="1">
      <alignment vertical="center"/>
    </xf>
    <xf numFmtId="0" fontId="22" fillId="0" borderId="8" xfId="6" applyFont="1" applyBorder="1" applyAlignment="1">
      <alignment horizontal="center" vertical="center" indent="1"/>
    </xf>
    <xf numFmtId="0" fontId="1" fillId="0" borderId="8" xfId="6" applyFont="1" applyBorder="1"/>
    <xf numFmtId="0" fontId="12" fillId="0" borderId="6" xfId="0" applyFont="1" applyBorder="1"/>
    <xf numFmtId="0" fontId="12" fillId="0" borderId="6" xfId="0" applyFont="1" applyBorder="1" applyAlignment="1">
      <alignment horizontal="center"/>
    </xf>
    <xf numFmtId="43" fontId="12" fillId="0" borderId="6" xfId="1" applyFont="1" applyBorder="1"/>
    <xf numFmtId="0" fontId="1" fillId="0" borderId="6" xfId="0" applyFont="1" applyBorder="1"/>
    <xf numFmtId="43" fontId="1" fillId="0" borderId="6" xfId="1" applyFont="1" applyBorder="1"/>
    <xf numFmtId="0" fontId="1" fillId="0" borderId="4" xfId="0" applyFont="1" applyBorder="1" applyAlignment="1">
      <alignment horizontal="left" vertical="center"/>
    </xf>
    <xf numFmtId="165" fontId="1" fillId="2" borderId="4" xfId="1" applyNumberFormat="1" applyFont="1" applyFill="1" applyBorder="1" applyAlignment="1">
      <alignment horizontal="right" vertical="center"/>
    </xf>
    <xf numFmtId="0" fontId="1" fillId="2" borderId="4" xfId="1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1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1" applyNumberFormat="1" applyFont="1" applyBorder="1" applyAlignment="1">
      <alignment horizontal="center"/>
    </xf>
    <xf numFmtId="0" fontId="1" fillId="2" borderId="4" xfId="1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 wrapText="1"/>
    </xf>
    <xf numFmtId="0" fontId="15" fillId="0" borderId="4" xfId="1" applyNumberFormat="1" applyFont="1" applyBorder="1" applyAlignment="1">
      <alignment horizontal="center" vertical="center"/>
    </xf>
    <xf numFmtId="43" fontId="4" fillId="4" borderId="8" xfId="7" applyNumberFormat="1" applyFont="1" applyFill="1" applyBorder="1" applyAlignment="1">
      <alignment horizontal="right" vertical="center"/>
    </xf>
    <xf numFmtId="43" fontId="4" fillId="4" borderId="15" xfId="7" applyNumberFormat="1" applyFont="1" applyFill="1" applyBorder="1" applyAlignment="1">
      <alignment horizontal="right" vertical="center"/>
    </xf>
    <xf numFmtId="0" fontId="23" fillId="0" borderId="12" xfId="6" applyFont="1" applyBorder="1" applyAlignment="1">
      <alignment horizontal="center" vertical="center"/>
    </xf>
    <xf numFmtId="0" fontId="23" fillId="0" borderId="8" xfId="6" applyFont="1" applyBorder="1" applyAlignment="1">
      <alignment horizontal="left" vertical="center"/>
    </xf>
    <xf numFmtId="0" fontId="23" fillId="0" borderId="8" xfId="6" applyFont="1" applyBorder="1" applyAlignment="1">
      <alignment horizontal="center" vertical="center"/>
    </xf>
    <xf numFmtId="17" fontId="23" fillId="0" borderId="8" xfId="6" applyNumberFormat="1" applyFont="1" applyBorder="1" applyAlignment="1">
      <alignment horizontal="center" vertical="center"/>
    </xf>
    <xf numFmtId="43" fontId="24" fillId="0" borderId="8" xfId="7" applyNumberFormat="1" applyFont="1" applyBorder="1" applyAlignment="1">
      <alignment horizontal="right" vertical="center"/>
    </xf>
    <xf numFmtId="166" fontId="24" fillId="0" borderId="8" xfId="7" applyNumberFormat="1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0" fillId="0" borderId="6" xfId="0" applyBorder="1"/>
    <xf numFmtId="43" fontId="0" fillId="0" borderId="6" xfId="0" applyNumberFormat="1" applyBorder="1"/>
    <xf numFmtId="0" fontId="0" fillId="0" borderId="6" xfId="0" applyBorder="1" applyAlignment="1">
      <alignment horizontal="left"/>
    </xf>
    <xf numFmtId="43" fontId="1" fillId="0" borderId="6" xfId="1" applyFont="1" applyFill="1" applyBorder="1"/>
    <xf numFmtId="0" fontId="1" fillId="0" borderId="6" xfId="0" applyFont="1" applyBorder="1" applyAlignment="1">
      <alignment horizontal="left"/>
    </xf>
    <xf numFmtId="43" fontId="9" fillId="0" borderId="6" xfId="1" applyFont="1" applyFill="1" applyBorder="1"/>
    <xf numFmtId="0" fontId="9" fillId="0" borderId="6" xfId="0" applyFont="1" applyBorder="1"/>
    <xf numFmtId="0" fontId="9" fillId="0" borderId="6" xfId="0" applyFont="1" applyBorder="1" applyAlignment="1">
      <alignment horizontal="center"/>
    </xf>
    <xf numFmtId="43" fontId="9" fillId="0" borderId="6" xfId="1" applyFont="1" applyBorder="1"/>
    <xf numFmtId="43" fontId="9" fillId="0" borderId="6" xfId="1" applyFont="1" applyBorder="1" applyAlignment="1">
      <alignment horizontal="right"/>
    </xf>
    <xf numFmtId="0" fontId="27" fillId="0" borderId="6" xfId="0" applyFont="1" applyBorder="1"/>
    <xf numFmtId="0" fontId="27" fillId="0" borderId="6" xfId="0" applyFont="1" applyBorder="1" applyAlignment="1">
      <alignment horizontal="center"/>
    </xf>
    <xf numFmtId="43" fontId="27" fillId="0" borderId="6" xfId="0" applyNumberFormat="1" applyFont="1" applyBorder="1"/>
    <xf numFmtId="0" fontId="12" fillId="0" borderId="6" xfId="0" applyFont="1" applyBorder="1" applyAlignment="1">
      <alignment horizontal="left"/>
    </xf>
    <xf numFmtId="43" fontId="11" fillId="5" borderId="8" xfId="6" applyNumberFormat="1" applyFont="1" applyFill="1" applyBorder="1" applyAlignment="1">
      <alignment horizontal="center"/>
    </xf>
    <xf numFmtId="43" fontId="4" fillId="0" borderId="8" xfId="6" applyNumberFormat="1" applyFont="1" applyBorder="1" applyAlignment="1">
      <alignment horizontal="center"/>
    </xf>
    <xf numFmtId="43" fontId="4" fillId="4" borderId="8" xfId="7" applyNumberFormat="1" applyFont="1" applyFill="1" applyBorder="1"/>
    <xf numFmtId="0" fontId="12" fillId="0" borderId="13" xfId="6" applyFont="1" applyBorder="1" applyAlignment="1">
      <alignment horizontal="left" vertical="center" wrapText="1"/>
    </xf>
    <xf numFmtId="0" fontId="19" fillId="0" borderId="13" xfId="6" applyFont="1" applyBorder="1" applyAlignment="1">
      <alignment horizontal="left" vertical="center" wrapText="1"/>
    </xf>
    <xf numFmtId="0" fontId="1" fillId="0" borderId="13" xfId="6" applyFont="1" applyBorder="1" applyAlignment="1">
      <alignment horizontal="left" vertical="center" wrapText="1"/>
    </xf>
    <xf numFmtId="17" fontId="2" fillId="0" borderId="13" xfId="6" applyNumberFormat="1" applyBorder="1" applyAlignment="1">
      <alignment horizontal="left" vertical="center" wrapText="1"/>
    </xf>
    <xf numFmtId="164" fontId="28" fillId="0" borderId="8" xfId="7" applyFont="1" applyBorder="1" applyAlignment="1">
      <alignment horizontal="right" vertical="center"/>
    </xf>
    <xf numFmtId="166" fontId="28" fillId="0" borderId="8" xfId="7" applyNumberFormat="1" applyFont="1" applyBorder="1" applyAlignment="1">
      <alignment horizontal="right" vertical="center"/>
    </xf>
    <xf numFmtId="166" fontId="28" fillId="0" borderId="8" xfId="7" applyNumberFormat="1" applyFont="1" applyBorder="1" applyAlignment="1">
      <alignment horizontal="center" vertical="center"/>
    </xf>
    <xf numFmtId="0" fontId="28" fillId="0" borderId="8" xfId="7" applyNumberFormat="1" applyFont="1" applyBorder="1" applyAlignment="1">
      <alignment horizontal="center" vertical="center"/>
    </xf>
    <xf numFmtId="0" fontId="1" fillId="0" borderId="12" xfId="6" applyFont="1" applyBorder="1" applyAlignment="1">
      <alignment horizontal="center" vertical="center"/>
    </xf>
    <xf numFmtId="43" fontId="0" fillId="2" borderId="6" xfId="1" applyFont="1" applyFill="1" applyBorder="1" applyAlignment="1">
      <alignment horizontal="right"/>
    </xf>
    <xf numFmtId="43" fontId="0" fillId="0" borderId="6" xfId="1" applyFont="1" applyBorder="1"/>
    <xf numFmtId="43" fontId="0" fillId="0" borderId="6" xfId="0" applyNumberFormat="1" applyBorder="1" applyAlignment="1">
      <alignment horizontal="center"/>
    </xf>
    <xf numFmtId="0" fontId="29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43" fontId="0" fillId="0" borderId="6" xfId="1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43" fontId="11" fillId="0" borderId="0" xfId="0" applyNumberFormat="1" applyFont="1"/>
    <xf numFmtId="0" fontId="0" fillId="0" borderId="26" xfId="0" applyBorder="1"/>
    <xf numFmtId="0" fontId="4" fillId="0" borderId="6" xfId="0" applyFont="1" applyBorder="1" applyAlignment="1">
      <alignment horizontal="center"/>
    </xf>
    <xf numFmtId="17" fontId="4" fillId="0" borderId="6" xfId="0" applyNumberFormat="1" applyFont="1" applyBorder="1" applyAlignment="1">
      <alignment horizontal="center"/>
    </xf>
    <xf numFmtId="43" fontId="1" fillId="0" borderId="6" xfId="0" applyNumberFormat="1" applyFont="1" applyBorder="1"/>
    <xf numFmtId="0" fontId="25" fillId="0" borderId="6" xfId="0" applyFont="1" applyBorder="1"/>
    <xf numFmtId="0" fontId="25" fillId="0" borderId="6" xfId="0" applyFont="1" applyBorder="1" applyAlignment="1">
      <alignment horizontal="center"/>
    </xf>
    <xf numFmtId="43" fontId="25" fillId="0" borderId="6" xfId="1" applyFont="1" applyBorder="1"/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43" fontId="1" fillId="0" borderId="6" xfId="1" applyFont="1" applyBorder="1" applyAlignment="1">
      <alignment vertical="center"/>
    </xf>
    <xf numFmtId="43" fontId="9" fillId="0" borderId="6" xfId="1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30" fillId="0" borderId="6" xfId="0" applyFont="1" applyBorder="1"/>
    <xf numFmtId="0" fontId="30" fillId="0" borderId="6" xfId="0" applyFont="1" applyBorder="1" applyAlignment="1">
      <alignment horizontal="center"/>
    </xf>
    <xf numFmtId="43" fontId="30" fillId="0" borderId="6" xfId="1" applyFont="1" applyBorder="1"/>
    <xf numFmtId="43" fontId="0" fillId="4" borderId="6" xfId="1" applyFont="1" applyFill="1" applyBorder="1"/>
    <xf numFmtId="0" fontId="18" fillId="0" borderId="6" xfId="0" applyFont="1" applyBorder="1" applyAlignment="1">
      <alignment horizontal="center" vertical="center"/>
    </xf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43" fontId="8" fillId="0" borderId="6" xfId="1" applyFont="1" applyBorder="1"/>
    <xf numFmtId="0" fontId="21" fillId="0" borderId="6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22" fillId="0" borderId="6" xfId="0" applyFont="1" applyBorder="1"/>
    <xf numFmtId="0" fontId="22" fillId="0" borderId="6" xfId="0" applyFont="1" applyBorder="1" applyAlignment="1">
      <alignment horizontal="center"/>
    </xf>
    <xf numFmtId="43" fontId="22" fillId="0" borderId="6" xfId="1" applyFont="1" applyBorder="1"/>
    <xf numFmtId="43" fontId="28" fillId="0" borderId="6" xfId="1" applyFont="1" applyBorder="1"/>
    <xf numFmtId="0" fontId="11" fillId="0" borderId="29" xfId="0" applyFont="1" applyBorder="1" applyAlignment="1">
      <alignment horizontal="center"/>
    </xf>
    <xf numFmtId="0" fontId="0" fillId="0" borderId="29" xfId="0" applyBorder="1"/>
    <xf numFmtId="0" fontId="0" fillId="0" borderId="29" xfId="0" applyBorder="1" applyAlignment="1">
      <alignment horizontal="center"/>
    </xf>
    <xf numFmtId="43" fontId="11" fillId="0" borderId="29" xfId="0" applyNumberFormat="1" applyFont="1" applyBorder="1"/>
    <xf numFmtId="0" fontId="11" fillId="0" borderId="21" xfId="0" applyFont="1" applyBorder="1" applyAlignment="1">
      <alignment horizontal="center"/>
    </xf>
    <xf numFmtId="43" fontId="11" fillId="0" borderId="21" xfId="0" applyNumberFormat="1" applyFont="1" applyBorder="1" applyAlignment="1">
      <alignment horizontal="center"/>
    </xf>
    <xf numFmtId="14" fontId="11" fillId="0" borderId="21" xfId="0" applyNumberFormat="1" applyFont="1" applyBorder="1" applyAlignment="1">
      <alignment horizontal="center"/>
    </xf>
    <xf numFmtId="0" fontId="11" fillId="6" borderId="21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43" fontId="11" fillId="6" borderId="21" xfId="0" applyNumberFormat="1" applyFont="1" applyFill="1" applyBorder="1"/>
    <xf numFmtId="43" fontId="0" fillId="6" borderId="21" xfId="0" applyNumberForma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0" xfId="0" applyBorder="1"/>
    <xf numFmtId="43" fontId="0" fillId="0" borderId="20" xfId="0" applyNumberFormat="1" applyBorder="1"/>
    <xf numFmtId="0" fontId="0" fillId="0" borderId="20" xfId="0" applyBorder="1" applyAlignment="1">
      <alignment horizontal="left"/>
    </xf>
    <xf numFmtId="17" fontId="4" fillId="0" borderId="29" xfId="0" applyNumberFormat="1" applyFont="1" applyBorder="1" applyAlignment="1">
      <alignment horizontal="center"/>
    </xf>
    <xf numFmtId="43" fontId="0" fillId="0" borderId="29" xfId="0" applyNumberFormat="1" applyBorder="1"/>
    <xf numFmtId="0" fontId="0" fillId="0" borderId="21" xfId="0" applyBorder="1"/>
    <xf numFmtId="0" fontId="0" fillId="0" borderId="21" xfId="0" applyBorder="1" applyAlignment="1">
      <alignment horizontal="center"/>
    </xf>
    <xf numFmtId="43" fontId="0" fillId="0" borderId="21" xfId="0" applyNumberFormat="1" applyBorder="1"/>
    <xf numFmtId="43" fontId="11" fillId="0" borderId="21" xfId="1" applyFont="1" applyBorder="1"/>
    <xf numFmtId="164" fontId="0" fillId="0" borderId="21" xfId="0" applyNumberFormat="1" applyBorder="1" applyAlignment="1">
      <alignment horizontal="center"/>
    </xf>
    <xf numFmtId="43" fontId="11" fillId="0" borderId="21" xfId="0" applyNumberFormat="1" applyFont="1" applyBorder="1"/>
    <xf numFmtId="0" fontId="0" fillId="6" borderId="21" xfId="0" applyFill="1" applyBorder="1" applyAlignment="1">
      <alignment horizontal="center"/>
    </xf>
    <xf numFmtId="164" fontId="0" fillId="6" borderId="21" xfId="0" applyNumberFormat="1" applyFill="1" applyBorder="1" applyAlignment="1">
      <alignment horizontal="center"/>
    </xf>
    <xf numFmtId="43" fontId="11" fillId="6" borderId="21" xfId="1" applyFont="1" applyFill="1" applyBorder="1"/>
    <xf numFmtId="0" fontId="11" fillId="0" borderId="20" xfId="0" applyFont="1" applyBorder="1" applyAlignment="1">
      <alignment horizontal="center"/>
    </xf>
    <xf numFmtId="0" fontId="0" fillId="0" borderId="0" xfId="0" applyAlignment="1">
      <alignment wrapText="1"/>
    </xf>
    <xf numFmtId="0" fontId="11" fillId="0" borderId="2" xfId="0" applyFont="1" applyBorder="1" applyAlignment="1">
      <alignment horizontal="center" wrapText="1"/>
    </xf>
    <xf numFmtId="14" fontId="11" fillId="0" borderId="21" xfId="0" applyNumberFormat="1" applyFont="1" applyBorder="1" applyAlignment="1">
      <alignment horizontal="center" wrapText="1"/>
    </xf>
    <xf numFmtId="0" fontId="0" fillId="0" borderId="29" xfId="0" applyBorder="1" applyAlignment="1">
      <alignment wrapText="1"/>
    </xf>
    <xf numFmtId="0" fontId="1" fillId="0" borderId="6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6" borderId="21" xfId="0" applyFill="1" applyBorder="1" applyAlignment="1">
      <alignment wrapText="1"/>
    </xf>
    <xf numFmtId="0" fontId="1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43" fontId="11" fillId="0" borderId="21" xfId="1" applyFont="1" applyBorder="1" applyAlignment="1">
      <alignment wrapText="1"/>
    </xf>
    <xf numFmtId="43" fontId="11" fillId="6" borderId="21" xfId="1" applyFont="1" applyFill="1" applyBorder="1" applyAlignment="1">
      <alignment wrapText="1"/>
    </xf>
    <xf numFmtId="43" fontId="31" fillId="0" borderId="6" xfId="1" applyFont="1" applyBorder="1" applyAlignment="1">
      <alignment vertical="center"/>
    </xf>
    <xf numFmtId="43" fontId="11" fillId="5" borderId="30" xfId="6" applyNumberFormat="1" applyFont="1" applyFill="1" applyBorder="1" applyAlignment="1">
      <alignment horizontal="center" vertical="center"/>
    </xf>
    <xf numFmtId="17" fontId="11" fillId="5" borderId="31" xfId="6" applyNumberFormat="1" applyFont="1" applyFill="1" applyBorder="1" applyAlignment="1">
      <alignment horizontal="center"/>
    </xf>
    <xf numFmtId="43" fontId="11" fillId="5" borderId="31" xfId="6" applyNumberFormat="1" applyFont="1" applyFill="1" applyBorder="1" applyAlignment="1">
      <alignment horizontal="center"/>
    </xf>
    <xf numFmtId="43" fontId="4" fillId="0" borderId="31" xfId="6" applyNumberFormat="1" applyFont="1" applyBorder="1" applyAlignment="1">
      <alignment horizontal="center"/>
    </xf>
    <xf numFmtId="43" fontId="12" fillId="0" borderId="31" xfId="6" applyNumberFormat="1" applyFont="1" applyBorder="1"/>
    <xf numFmtId="43" fontId="22" fillId="0" borderId="31" xfId="6" applyNumberFormat="1" applyFont="1" applyBorder="1"/>
    <xf numFmtId="43" fontId="19" fillId="0" borderId="31" xfId="6" applyNumberFormat="1" applyFont="1" applyBorder="1"/>
    <xf numFmtId="43" fontId="2" fillId="0" borderId="31" xfId="6" applyNumberFormat="1" applyBorder="1"/>
    <xf numFmtId="43" fontId="4" fillId="4" borderId="31" xfId="7" applyNumberFormat="1" applyFont="1" applyFill="1" applyBorder="1"/>
    <xf numFmtId="43" fontId="2" fillId="0" borderId="31" xfId="6" applyNumberFormat="1" applyBorder="1" applyAlignment="1">
      <alignment horizontal="center" vertical="center"/>
    </xf>
    <xf numFmtId="43" fontId="11" fillId="5" borderId="31" xfId="6" applyNumberFormat="1" applyFont="1" applyFill="1" applyBorder="1" applyAlignment="1">
      <alignment horizontal="center" vertical="center"/>
    </xf>
    <xf numFmtId="43" fontId="2" fillId="0" borderId="31" xfId="6" applyNumberFormat="1" applyBorder="1" applyAlignment="1">
      <alignment vertical="center"/>
    </xf>
    <xf numFmtId="43" fontId="22" fillId="0" borderId="31" xfId="6" applyNumberFormat="1" applyFont="1" applyBorder="1" applyAlignment="1">
      <alignment vertical="center"/>
    </xf>
    <xf numFmtId="43" fontId="0" fillId="0" borderId="31" xfId="7" applyNumberFormat="1" applyFont="1" applyBorder="1" applyAlignment="1">
      <alignment vertical="center"/>
    </xf>
    <xf numFmtId="43" fontId="0" fillId="0" borderId="32" xfId="7" applyNumberFormat="1" applyFont="1" applyBorder="1" applyAlignment="1">
      <alignment vertical="center"/>
    </xf>
    <xf numFmtId="0" fontId="11" fillId="0" borderId="25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1" fillId="5" borderId="8" xfId="6" applyFont="1" applyFill="1" applyBorder="1" applyAlignment="1">
      <alignment horizontal="center" vertical="center"/>
    </xf>
    <xf numFmtId="43" fontId="11" fillId="5" borderId="8" xfId="6" applyNumberFormat="1" applyFont="1" applyFill="1" applyBorder="1" applyAlignment="1">
      <alignment horizontal="center" vertical="center"/>
    </xf>
    <xf numFmtId="0" fontId="11" fillId="5" borderId="10" xfId="6" applyFont="1" applyFill="1" applyBorder="1" applyAlignment="1">
      <alignment horizontal="center" vertical="center"/>
    </xf>
    <xf numFmtId="43" fontId="11" fillId="5" borderId="10" xfId="6" applyNumberFormat="1" applyFont="1" applyFill="1" applyBorder="1" applyAlignment="1">
      <alignment horizontal="center" vertical="center"/>
    </xf>
    <xf numFmtId="17" fontId="11" fillId="5" borderId="8" xfId="6" applyNumberFormat="1" applyFont="1" applyFill="1" applyBorder="1" applyAlignment="1">
      <alignment horizontal="center"/>
    </xf>
    <xf numFmtId="0" fontId="11" fillId="5" borderId="9" xfId="6" applyFont="1" applyFill="1" applyBorder="1" applyAlignment="1">
      <alignment horizontal="center" vertical="center"/>
    </xf>
    <xf numFmtId="0" fontId="11" fillId="5" borderId="12" xfId="6" applyFont="1" applyFill="1" applyBorder="1" applyAlignment="1">
      <alignment horizontal="center" vertical="center"/>
    </xf>
    <xf numFmtId="0" fontId="11" fillId="5" borderId="10" xfId="6" applyFont="1" applyFill="1" applyBorder="1" applyAlignment="1">
      <alignment horizontal="left" vertical="center"/>
    </xf>
    <xf numFmtId="0" fontId="11" fillId="5" borderId="8" xfId="6" applyFont="1" applyFill="1" applyBorder="1" applyAlignment="1">
      <alignment horizontal="center"/>
    </xf>
    <xf numFmtId="2" fontId="11" fillId="5" borderId="10" xfId="6" applyNumberFormat="1" applyFont="1" applyFill="1" applyBorder="1" applyAlignment="1">
      <alignment horizontal="center" vertical="center"/>
    </xf>
    <xf numFmtId="2" fontId="11" fillId="5" borderId="8" xfId="6" applyNumberFormat="1" applyFont="1" applyFill="1" applyBorder="1" applyAlignment="1">
      <alignment horizontal="center" vertical="center"/>
    </xf>
    <xf numFmtId="0" fontId="11" fillId="5" borderId="11" xfId="6" applyFont="1" applyFill="1" applyBorder="1" applyAlignment="1">
      <alignment horizontal="center" vertical="center" wrapText="1"/>
    </xf>
    <xf numFmtId="0" fontId="11" fillId="5" borderId="13" xfId="6" applyFont="1" applyFill="1" applyBorder="1" applyAlignment="1">
      <alignment horizontal="center" vertical="center" wrapText="1"/>
    </xf>
    <xf numFmtId="2" fontId="11" fillId="5" borderId="10" xfId="6" applyNumberFormat="1" applyFont="1" applyFill="1" applyBorder="1" applyAlignment="1">
      <alignment horizontal="right" vertical="center"/>
    </xf>
    <xf numFmtId="2" fontId="11" fillId="5" borderId="8" xfId="6" applyNumberFormat="1" applyFont="1" applyFill="1" applyBorder="1" applyAlignment="1">
      <alignment horizontal="center"/>
    </xf>
  </cellXfs>
  <cellStyles count="8">
    <cellStyle name="Comma" xfId="1" builtinId="3"/>
    <cellStyle name="Comma 2" xfId="7" xr:uid="{CE6010EE-0184-493B-92D8-2B68BFAFE96E}"/>
    <cellStyle name="Normal" xfId="0" builtinId="0"/>
    <cellStyle name="Normal 2" xfId="6" xr:uid="{2785F452-197D-4898-8586-80AA0B07B533}"/>
    <cellStyle name="Normal 2 2" xfId="2" xr:uid="{7825B63D-B551-4110-9183-7777E7B76E6B}"/>
    <cellStyle name="Normal 3" xfId="4" xr:uid="{4500A479-7703-4DF2-B342-D65E7A4998E8}"/>
    <cellStyle name="Normal 8" xfId="3" xr:uid="{503FFD70-0B04-4F4D-BB8D-171EE1DDE61E}"/>
    <cellStyle name="Normal 9" xfId="5" xr:uid="{A359B5F6-9AE7-41B6-8260-F4CD7605FCA5}"/>
  </cellStyles>
  <dxfs count="0"/>
  <tableStyles count="1" defaultTableStyle="TableStyleMedium2" defaultPivotStyle="PivotStyleLight16">
    <tableStyle name="Invisible" pivot="0" table="0" count="0" xr9:uid="{7B964152-6F64-4038-A2D9-A91A8EE74D81}"/>
  </tableStyles>
  <colors>
    <mruColors>
      <color rgb="FF398600"/>
      <color rgb="FF409600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drcserver1/DESIGN/Infra/Geotech/Crep/Soil-inv/O1097/DJB-0509/Spt-B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rystal/LG-DATA/lg-data/STP-JAIPUR/SUBMIT%20TO%20VATECH/P061-E0020-01-R0-ear-15-05-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ntdatacenter/EDRC%20WET%20projects/Electrical%20Group%20-%20I/ANARK/20.01.2010/LOAD%20SCH_10.11.08(R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ntdatacenter/EDRC%20WET%20projects/Under%20preparation/Load%20Analysis%20&amp;%20Trafo.%20sizing%20-%20Anrak%20%20Settler%20&amp;%20Washer%20(BYC-209014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ntdatacenter/EDRC%20WET%20projects/case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atech/contract/BWSSB/Drawings%20and%20Documents/Process/Design%20calculations/Biopur%20Rev2.1_av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ntdatacenter/EDRC%20WET%20projects/Desktop/barmer/1%20CWR%20MOHANGARH%20(REV.1)%20280708/(11)%20INLET%20SUM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ntdatacenter/EDRC%20WET%20projects/AKKS/GIPCL%20-%20ELHS/Document/IO%20List%20Rev%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ntdatacenter/EDRC%20WET%20projects/PTA%20-%20RCFL%20-%20STP/RCFL%20-%20STP/7.%20Deliverables%20along%20BID/A4-2100873-DC-E-001-R1%20LOAD%20ANALYSIS%20&amp;%20INCOMER%20SIZING%20CALCULATI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ntdatacenter/EDRC%20WET%20projects/Estimation/CMWSSB-II/A4-1T00803-DC-E-001-R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ntdatacenter/EDRC%20WET%20projects/PROJECTS/10P4-EIL-GSPC-Mallavaram/Drawings%20and%20Documents-10P4/Electrical/DESIGN%20CALCULATIONS/CABLE%20SIZING/R1(Sub)/LATEST%20LENGTH%2018%20APR%20201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ntdatacenter/EDRC%20WET%20projects/DOCUMENTS/CALCULATIONS/TRANSFORMER%20SIZING/UNDER%20PREPARATION/ELECTRICAL/DOCUMENTS/SCEHDULE/LCS%20SCHELDUE/UNDER%20PREPARATION/LCS%20SCHEDULE%20-%20MO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drcdiskarray/ISO/Formats-Quality%20System%20Documents/ISO9001-1994/Quality%20System%20Documents-R1/Manual%20of%20Standards/GN-ST-06(2)(Design%20Sheet-Ruled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drcdatacenter3/Integrated%20Security%20Solutions/Documents%20and%20Settings/vvbk.HQNET/Desktop/FILES/74_21.07.2008/mundra/S1D%20(Workings)/Master/3.%20TRANSFORMER%20SIZING/rev-1/REV-1%20MUMPP%20XR%201.11.0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ntdatacenter/EDRC%20WET%20projects/ACTIVE-FOLDERS/ORDER/BYC-2090858-BHATINDA/ELECTRICAL/DOCUMENTS/Design%20doc/Under%20Preparation/Bhatinda%20calc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atech/tenders/venkatesh%20babu/D/Vb/PROPOSAL/SEWAGE/VB-294/PRESENT/O&amp;M-Approvals/O&amp;M%20-%20FINAL/VB-294-O&amp;M%20COS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atech/tenders/venkatesh%20babu/D/Vb/PROPOSAL/SEWAGE/VB-294/PRESENT/O&amp;M-Approvals/Bid%20Calculation%20O&amp;M%20%20(beta-vers)%20E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atech/o&amp;m/Tenders/O&amp;M%20TENDER/DELHI%20JAL%20BOARD/FRA_DJB%20O&amp;M24.12.0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ntdatacenter/EDRC%20WET%20projects/GURU/Barmer%20lift%20water%20supply%20project/Security%20Bld/Excel/SB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atech/tenders/venkatesh%20babu/D/Vb/PROPOSAL/SEWAGE/VB-294/PRESENT/O&amp;M-Approvals/O&amp;M%20-%20FINAL/FRA_DJB%20O&amp;M24.12.0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ntdatacenter/EDRC%20WET%20projects/OPERATING%20JOBS/C_NC_8/valve%20chamber/scr.%20vl-for2m%20dia%20pipe(L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drcserver1/design/user/Cement/KVPgroup/E-Kvp/KVP-Engrs/PPRM-Housing/Namakkal%20Housing/School/T1037%20Entire%20Schoo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#REF!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SPT_vs_PHI"/>
      <sheetName val="glass_project_concrete"/>
      <sheetName val="glass_project_reift"/>
      <sheetName val="glass_project_indices"/>
      <sheetName val="Lab"/>
      <sheetName val="office"/>
      <sheetName val="Material&amp;equipment"/>
      <sheetName val="Boq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Rate Analysis"/>
      <sheetName val="FitOutConfCentre"/>
      <sheetName val="Summary 0506"/>
      <sheetName val="Summary 0607- 31.MAR"/>
      <sheetName val="LT Motor catalog"/>
      <sheetName val="Qty"/>
      <sheetName val="sept-plan"/>
      <sheetName val="Civil Boq"/>
      <sheetName val="Spt-BH"/>
      <sheetName val="Table10"/>
      <sheetName val="Table11"/>
      <sheetName val="Table12"/>
      <sheetName val="Table9"/>
      <sheetName val="Other"/>
      <sheetName val="Summary"/>
      <sheetName val="Pile cap"/>
      <sheetName val="V.O.4 - PCC Qty"/>
      <sheetName val="TBAL9697 -group wise  sdpl"/>
      <sheetName val="Abstract Sheet"/>
      <sheetName val="Legal Risk Analysis"/>
      <sheetName val="Cable cat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pr.cal"/>
      <sheetName val="ELECT"/>
      <sheetName val="BH_12-11-10-13"/>
      <sheetName val="BH_12-11-10-9"/>
      <sheetName val="BH_36-15-37"/>
      <sheetName val="BH_16-35-25-17"/>
      <sheetName val="BH_35-25-17"/>
      <sheetName val="Sheet1_(2)"/>
      <sheetName val="GBW"/>
      <sheetName val="Break up Sheet"/>
      <sheetName val="TRF details"/>
      <sheetName val="PRECAST lightconc-II"/>
      <sheetName val="d-safe DELUXE"/>
      <sheetName val="Mix Design"/>
      <sheetName val="std-rates"/>
      <sheetName val="8"/>
      <sheetName val="Sheet3"/>
      <sheetName val="Publicbuilding"/>
      <sheetName val="FT-05-02IsoBOM"/>
      <sheetName val="Flight-1"/>
      <sheetName val="RCC,Ret. Wall"/>
      <sheetName val="Form 6"/>
      <sheetName val="PointNo.5"/>
      <sheetName val="WWR"/>
      <sheetName val="Design"/>
      <sheetName val="BLK2"/>
      <sheetName val="BLK3"/>
      <sheetName val="E &amp; R"/>
      <sheetName val="radar"/>
      <sheetName val="UG"/>
      <sheetName val="Fill this out first..."/>
      <sheetName val="LABOUR"/>
      <sheetName val="REVISED4A PROG PERF-SITE 1"/>
      <sheetName val="Load Details-220kV"/>
      <sheetName val="beam-reinft-IIInd floor"/>
      <sheetName val="BOQ_Direct_selling cost"/>
      <sheetName val="BOQ (2)"/>
      <sheetName val="CABLE DATA"/>
      <sheetName val="A-General"/>
      <sheetName val="Stock-II"/>
      <sheetName val="R20_R30_work"/>
      <sheetName val="220 11  BS "/>
      <sheetName val="dummy"/>
      <sheetName val="PRRM Dashboard"/>
      <sheetName val="Mappings"/>
      <sheetName val="Report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Rein-Final (Ph 1+Ph2)"/>
      <sheetName val="class &amp; category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Summary_0506"/>
      <sheetName val="Summary_0607-_31_MAR"/>
      <sheetName val="Civil_Boq"/>
      <sheetName val="Pile_cap"/>
      <sheetName val="PRECAST_lightconc-II"/>
      <sheetName val="d-safe_DELUXE"/>
      <sheetName val="Mix_Design"/>
      <sheetName val="RCC,Ret__Wall"/>
      <sheetName val="Form_6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Coefficients"/>
      <sheetName val="IS3370"/>
      <sheetName val="IS456"/>
      <sheetName val="Tees"/>
      <sheetName val="Supplier"/>
      <sheetName val="final abstract"/>
      <sheetName val="BHANDUP"/>
      <sheetName val="Cost of O &amp; O"/>
      <sheetName val="Input"/>
      <sheetName val="Activity"/>
      <sheetName val="Staff Acco."/>
      <sheetName val="Crew"/>
      <sheetName val="Piping"/>
      <sheetName val="Pipe Supports"/>
      <sheetName val="M-Book for Conc"/>
      <sheetName val="M-Book for FW"/>
      <sheetName val="Rev S1 Abstract"/>
      <sheetName val="Quantity Abstract"/>
      <sheetName val="RA"/>
      <sheetName val="11-hsd"/>
      <sheetName val="13-septic"/>
      <sheetName val="7-ug"/>
      <sheetName val="2-utility"/>
      <sheetName val="18-misc"/>
      <sheetName val="5-pipe"/>
      <sheetName val=""/>
      <sheetName val="Abstract"/>
      <sheetName val="Parapet"/>
      <sheetName val="Sump"/>
      <sheetName val="COLUMN"/>
      <sheetName val="Footings"/>
      <sheetName val="VCH-SLC"/>
      <sheetName val="sheet6"/>
      <sheetName val="RA-markate"/>
      <sheetName val="INPUT SHEET"/>
      <sheetName val="RES-PLANNING"/>
      <sheetName val="B@__x005f_x0000__x005f_x0004_@_x005f_x0000__x0000"/>
      <sheetName val="Project Budget Worksheet"/>
      <sheetName val="DADAN-1"/>
      <sheetName val="Macro1"/>
      <sheetName val="d-safe specs"/>
      <sheetName val="1"/>
      <sheetName val="Process"/>
      <sheetName val="pt_cw"/>
      <sheetName val="Metso - Forth &amp; Slurry 11.02.10"/>
      <sheetName val="B@_"/>
      <sheetName val="B@___x0004_@_____$__"/>
      <sheetName val="cubes_M20"/>
      <sheetName val="Cost_any"/>
      <sheetName val="#REF"/>
      <sheetName val="BOQ -II ph 2"/>
      <sheetName val="STAFFSCHED "/>
      <sheetName val="SUMM"/>
      <sheetName val="switch"/>
      <sheetName val="BS1"/>
      <sheetName val="AOR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Lead"/>
      <sheetName val="Fee Rate Summary"/>
      <sheetName val="bricks"/>
      <sheetName val="attach(2)"/>
      <sheetName val="SSR &amp; NSSR Market final"/>
      <sheetName val="p&amp;m"/>
      <sheetName val="precast RC element"/>
      <sheetName val="HPL"/>
      <sheetName val="Costing"/>
      <sheetName val="Abstract for Variation"/>
      <sheetName val="LBD VARIATION"/>
      <sheetName val="Title"/>
      <sheetName val="Qty-Opt1"/>
      <sheetName val="Build-up"/>
      <sheetName val="inWords"/>
      <sheetName val="B@___x005f_x0004_@_____$__"/>
      <sheetName val="B@__x005f_x005f_x005f_x0000__x005f_x005f_x005f_x0004_@_"/>
      <sheetName val="FUNDFLOW"/>
      <sheetName val="col-reinft1"/>
      <sheetName val="India F&amp;S Template"/>
      <sheetName val="Quote Sheet"/>
      <sheetName val="Site wise NADs"/>
      <sheetName val="Formulas"/>
      <sheetName val="NPV"/>
      <sheetName val="Stress Calculation"/>
      <sheetName val="B@[_x005f_x0000__x005f_x0004_@_x005f_x0000__x0000"/>
      <sheetName val="x-items"/>
      <sheetName val="B@_@__$"/>
      <sheetName val="Back"/>
      <sheetName val="Headings"/>
      <sheetName val="T&amp;M"/>
      <sheetName val="SOR"/>
      <sheetName val="PriceSummary"/>
      <sheetName val="RA RCC F"/>
      <sheetName val="Cal"/>
      <sheetName val="Data"/>
      <sheetName val="Voucher"/>
      <sheetName val="Materials Cost(PCC)"/>
      <sheetName val="合成単価作成表-BLDG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3"/>
      <sheetName val="B@__x005f_x0000__x005f_x0004_@_"/>
      <sheetName val="2gii"/>
      <sheetName val="B@___x005f_x005f_x005f_x0004_@_____$__"/>
      <sheetName val="B@__x005f_x005f_x005f_x005f_x005f_x005f_x005f_x0000__x0"/>
      <sheetName val="B@[_x005f_x005f_x005f_x0000__x005f_x005f_x005f_x0004_@_"/>
      <sheetName val="재1"/>
      <sheetName val="SubmitCal"/>
      <sheetName val="MGS"/>
      <sheetName val="EDWise"/>
      <sheetName val="ComboSheet"/>
      <sheetName val="Direct cost shed A-2 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Summary_05062"/>
      <sheetName val="Summary_0607-_31_MAR2"/>
      <sheetName val="Civil_Boq1"/>
      <sheetName val="Pile_cap1"/>
      <sheetName val="V_O_4_-_PCC_Qty1"/>
      <sheetName val="TBAL9697_-group_wise__sdpl1"/>
      <sheetName val="Abstract_Sheet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PRECAST_lightconc-II1"/>
      <sheetName val="Mix_Design1"/>
      <sheetName val="d-safe_DELUXE1"/>
      <sheetName val="RCC,Ret__Wall1"/>
      <sheetName val="Form_62"/>
      <sheetName val="PointNo_51"/>
      <sheetName val="E_&amp;_R1"/>
      <sheetName val="Break_up_Sheet1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Metso_-_Forth_&amp;_Slurry_11_02_10"/>
      <sheetName val="BOQ_-II_ph_21"/>
      <sheetName val="Fee_Rate_Summary"/>
      <sheetName val="STAFFSCHED_"/>
      <sheetName val="d-safe_specs"/>
      <sheetName val="class_&amp;_category"/>
      <sheetName val="Rein-Final_(Ph_1+Ph2)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Assmpns"/>
      <sheetName val="Detail"/>
      <sheetName val="Staff Forecast spread"/>
      <sheetName val="B@__x005f_x0000__x005f_x0004_@_x005f_x0000___$_x0"/>
      <sheetName val="IDCCALHYD-GOO"/>
      <sheetName val="Inputs &amp; Summary Output"/>
      <sheetName val="Broad Refresher Model"/>
      <sheetName val="Debits as on 12.04.08"/>
      <sheetName val="Material "/>
      <sheetName val="Labour &amp; Plant"/>
      <sheetName val="Materials Cost"/>
      <sheetName val="TABLES"/>
      <sheetName val="upa"/>
      <sheetName val="SàQa_x0005_@"/>
      <sheetName val="C"/>
      <sheetName val="B"/>
      <sheetName val="Mx1012a"/>
      <sheetName val="BLOCK-E"/>
      <sheetName val="Joints"/>
      <sheetName val="2.2 띠장의 설계"/>
      <sheetName val="HVAC"/>
      <sheetName val="precast_RC_element"/>
      <sheetName val="Abstract_for_Variation"/>
      <sheetName val="LBD_VARIATION"/>
      <sheetName val="LT_Motor_catalog"/>
      <sheetName val="Cable_cat"/>
      <sheetName val="PRRM_Dashboard"/>
      <sheetName val="database"/>
      <sheetName val="ISA"/>
      <sheetName val="Works - Quote Sheet"/>
      <sheetName val="B@["/>
      <sheetName val="02"/>
      <sheetName val="03"/>
      <sheetName val="04"/>
      <sheetName val="05"/>
      <sheetName val="measurement"/>
      <sheetName val="Stress_Calculation"/>
      <sheetName val="Stress_Calculation1"/>
      <sheetName val="Basicrates"/>
      <sheetName val="Fin Sum"/>
      <sheetName val="Material List 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Coalmine"/>
      <sheetName val="Code"/>
      <sheetName val="PACK (B)"/>
      <sheetName val="Vind - BtB"/>
      <sheetName val="BTB"/>
      <sheetName val="cf"/>
      <sheetName val="orders"/>
      <sheetName val=" AT-1-220 "/>
      <sheetName val=" BC-220"/>
      <sheetName val="R2"/>
      <sheetName val="[Spt-BH.xls][Spt-BH.xls]_Spt__4"/>
      <sheetName val="[Spt-BH.xls][Spt-BH.xls]_Spt__2"/>
      <sheetName val="[Spt-BH.xls][Spt-BH.xls]B_____2"/>
      <sheetName val="[Spt-BH.xls][Spt-BH.xls]B_____3"/>
      <sheetName val="[Spt-BH.xls][Spt-BH.xls]_Spt__3"/>
      <sheetName val="[Spt-BH.xls][Spt-BH.xls]B_____4"/>
      <sheetName val="[Spt-BH.xls][Spt-BH.xls]B_____5"/>
      <sheetName val="[Spt-BH.xls][Spt-BH.xls]B_____6"/>
      <sheetName val="[Spt-BH.xls][Spt-BH.xls]B_____7"/>
      <sheetName val="[Spt-BH.xls][Spt-BH.xls]B_____8"/>
      <sheetName val="[Spt-BH.xls][Spt-BH.xls]B_____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Page2"/>
      <sheetName val="STRIP Sizing"/>
      <sheetName val="STRIP RES"/>
      <sheetName val="PIT RES"/>
      <sheetName val="NET RES"/>
      <sheetName val="blower house"/>
      <sheetName val="#REF!"/>
      <sheetName val="BQMPALOC"/>
      <sheetName val="Translation"/>
      <sheetName val="SPT vs P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CC1"/>
      <sheetName val="PMCC2"/>
      <sheetName val="PMCC3"/>
      <sheetName val="PMCC4"/>
      <sheetName val="PMCC5"/>
      <sheetName val="STRIP Siz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load data (PMCC-1)"/>
      <sheetName val="load data (PMCC-2)"/>
      <sheetName val="load data (FMCC)"/>
      <sheetName val="load data (COMPOSITE VFD FDS)"/>
      <sheetName val="Xmar sizing (SNC format)"/>
      <sheetName val="sizing (PMCC -1) (2)"/>
      <sheetName val="sizing (PMCC -1)"/>
      <sheetName val="load data (PMCC -1) (3)"/>
      <sheetName val="load data"/>
      <sheetName val="sizing"/>
      <sheetName val="LDB LOAD"/>
      <sheetName val="MCC"/>
      <sheetName val="MCC IC"/>
      <sheetName val="Sheet1"/>
      <sheetName val="PMCC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ontents"/>
      <sheetName val="Design basis-C"/>
      <sheetName val="load 2.0-C"/>
      <sheetName val="Time period"/>
      <sheetName val="Pipe wt-C"/>
      <sheetName val="TemplateInformation"/>
      <sheetName val="load data"/>
      <sheetName val="MCC 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1"/>
      <sheetName val="BIOPUR-C"/>
      <sheetName val="BIOPUR-N"/>
      <sheetName val="BILDBAL-D"/>
      <sheetName val="BILDBAL-E"/>
      <sheetName val="BILDBAL-F"/>
      <sheetName val="N-Konz-Diagr"/>
      <sheetName val="BSB+P+GUST-Konz-Diagr"/>
      <sheetName val="KONZ.XLS"/>
      <sheetName val="Pumps"/>
      <sheetName val="Sheet1"/>
      <sheetName val="ref formula TV"/>
      <sheetName val="Sheet2"/>
      <sheetName val="Sheet3"/>
      <sheetName val="pt-cw"/>
      <sheetName val="Data"/>
      <sheetName val="BB ATV A 131 "/>
      <sheetName val="DM tANK Allow"/>
      <sheetName val="DGT-I support"/>
      <sheetName val="OverviewBarmer"/>
      <sheetName val="INPUT"/>
      <sheetName val="PRECAST lightconc-II"/>
      <sheetName val="Design basis-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Wall W1"/>
      <sheetName val="Wall W2"/>
      <sheetName val="Wall W3"/>
      <sheetName val="Wall W4"/>
      <sheetName val="Wall W4(only for Gate in Wall)"/>
      <sheetName val="BALAN1"/>
      <sheetName val="PRECAST lightconc-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LC-1"/>
      <sheetName val="PLC-2"/>
      <sheetName val="RIO1"/>
      <sheetName val="RIO2"/>
      <sheetName val="PLC-3"/>
      <sheetName val="Wall W3"/>
      <sheetName val="BA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C Incomer Sizing"/>
      <sheetName val="Cover Sheet"/>
      <sheetName val="Load Anaysis"/>
      <sheetName val="Sheet1"/>
      <sheetName val="Transformar Sizing Cal."/>
      <sheetName val="Incomer Sizing Cal."/>
      <sheetName val="Feeder List"/>
      <sheetName val="Load Anaysis (2)"/>
      <sheetName val="Feeder List (2)"/>
      <sheetName val="PLC-1"/>
      <sheetName val="Wall W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 IC"/>
      <sheetName val="MCC Incomer Sizing"/>
      <sheetName val="PLC-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OLD IC"/>
      <sheetName val="MCC Incomer Sizi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S SCHEDULE "/>
      <sheetName val="Cover sheet"/>
      <sheetName val="OLD I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Design"/>
      <sheetName val="Guidelines"/>
      <sheetName val="LCS SCHEDULE "/>
      <sheetName val="Cover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-MCC"/>
      <sheetName val="JNT-8 MCC"/>
      <sheetName val="CHP MCC"/>
      <sheetName val="JNT-1 MCC"/>
      <sheetName val="Motor Data"/>
      <sheetName val="Design"/>
      <sheetName val="LCS SCHEDUL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izing"/>
      <sheetName val="HT"/>
      <sheetName val="MCC 1"/>
      <sheetName val="MCC 2"/>
      <sheetName val="MCC 3"/>
      <sheetName val="PCC VFD"/>
      <sheetName val="EMCC"/>
      <sheetName val="BOM"/>
      <sheetName val="Motor Data"/>
      <sheetName val="Des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Personnel (2)"/>
      <sheetName val="2Energy"/>
      <sheetName val="Civil(2)"/>
      <sheetName val="siteoff(4)"/>
      <sheetName val="spares&amp;maint(5)"/>
      <sheetName val="Sch C (2)"/>
      <sheetName val="Sch C"/>
      <sheetName val="7 Other Costs"/>
      <sheetName val="Kalkulationsbogen"/>
      <sheetName val="New_Wabagsheet_REV"/>
      <sheetName val="Summary"/>
      <sheetName val="spares(5 backup)"/>
      <sheetName val="prev(7)"/>
      <sheetName val="VB-chemicals(8)"/>
      <sheetName val="gasengine"/>
      <sheetName val="VB- sludge(11)"/>
      <sheetName val="Sch E"/>
      <sheetName val="Legal Risk Analysis"/>
      <sheetName val="MixBed"/>
      <sheetName val="Process"/>
      <sheetName val="#REF!"/>
      <sheetName val="2.9. Zwischenpuffer Risiko"/>
      <sheetName val="(10) Other Costs5"/>
      <sheetName val="HT-INTROD"/>
      <sheetName val="TehranBilanz"/>
      <sheetName val="Data"/>
      <sheetName val="WIND1"/>
      <sheetName val="local load"/>
      <sheetName val="Total"/>
      <sheetName val="Macro1"/>
      <sheetName val="SATHUMID"/>
      <sheetName val="COLUMN"/>
      <sheetName val="STAFFSCHED "/>
      <sheetName val="conc-foot-gradeslab"/>
      <sheetName val="Main-Material"/>
      <sheetName val="HASSAN"/>
      <sheetName val="pt-cw"/>
      <sheetName val="P.I(BOU)"/>
      <sheetName val="P.I(DIA)"/>
      <sheetName val="pr_cal"/>
      <sheetName val="Units"/>
      <sheetName val="VB-294-O&amp;M COST"/>
      <sheetName val="LCS SCHEDULE "/>
      <sheetName val="pr.cal"/>
      <sheetName val="F.I(BYPASS)"/>
      <sheetName val="Cul_detail"/>
      <sheetName val="Side wall dsn Formula"/>
      <sheetName val="Pile cap"/>
      <sheetName val="BOQ_Direct_selling cost"/>
      <sheetName val="Boq"/>
      <sheetName val="Sheet2"/>
      <sheetName val="Motor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Description"/>
      <sheetName val="Project Information"/>
      <sheetName val="VA TECH-Risk Analysis-O&amp;M"/>
      <sheetName val="Supplement to RA-O&amp;M"/>
      <sheetName val="Legal Risk Analysis"/>
      <sheetName val="Minimum Requirements"/>
      <sheetName val="Zuschläge"/>
      <sheetName val="VA TECH-Risikoanalyse"/>
      <sheetName val="Beiblatt zur RA"/>
      <sheetName val="VA TECH-Risikoanalyse-O&amp;M"/>
      <sheetName val="Beiblatt zur RA-O&amp;M"/>
      <sheetName val="7 Other Costs"/>
      <sheetName val="ELECT"/>
      <sheetName val="#REF!"/>
      <sheetName val="Process"/>
      <sheetName val="(10) Other Costs5"/>
      <sheetName val="Sheet2"/>
      <sheetName val="HT-INTROD"/>
      <sheetName val="MH_sd_de"/>
      <sheetName val="INPUT"/>
      <sheetName val="MixBed"/>
      <sheetName val="COLUMN"/>
      <sheetName val="STAFFSCHED "/>
      <sheetName val="detls"/>
      <sheetName val="A1a-2"/>
      <sheetName val="P.I(BOU)"/>
      <sheetName val="P.I(DIA)"/>
      <sheetName val="pr_cal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put FRC (2)"/>
      <sheetName val="Project Description"/>
      <sheetName val="Project Information"/>
      <sheetName val="VA TECH-Risk Analysis-O&amp;M"/>
      <sheetName val="Supplement to RA-O&amp;M"/>
      <sheetName val="Legal Risk Analysis"/>
      <sheetName val="FRC"/>
      <sheetName val="Minimum Requirements"/>
      <sheetName val="Input "/>
      <sheetName val="New_Wabagsheet_REV"/>
      <sheetName val="7 Other Costs"/>
      <sheetName val="ELECT"/>
      <sheetName val="COLUMN"/>
      <sheetName val="HDPE-pipe-rates"/>
      <sheetName val="pvc-pipe-rates"/>
      <sheetName val="TehranBilanz"/>
      <sheetName val="Data"/>
      <sheetName val="#REF!"/>
      <sheetName val="(10) Other Costs5"/>
      <sheetName val="CGL"/>
      <sheetName val="Process"/>
      <sheetName val="RANGE"/>
      <sheetName val="LOCAL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s"/>
      <sheetName val="Design Basis"/>
      <sheetName val="Load -Cal"/>
      <sheetName val="Column"/>
      <sheetName val="Beam "/>
      <sheetName val="Footing"/>
      <sheetName val="Legal Risk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put FRC (2)"/>
      <sheetName val="Project Description"/>
      <sheetName val="Project Information"/>
      <sheetName val="VA TECH-Risk Analysis-O&amp;M"/>
      <sheetName val="Supplement to RA-O&amp;M"/>
      <sheetName val="Legal Risk Analysis"/>
      <sheetName val="FRC"/>
      <sheetName val="Minimum Requirements"/>
      <sheetName val="Input "/>
      <sheetName val="7 Other Costs"/>
      <sheetName val="Qty-Opt1"/>
      <sheetName val="P+M  -Reverse Drum"/>
      <sheetName val="TehranBilanz"/>
      <sheetName val="Data"/>
      <sheetName val="#REF!"/>
      <sheetName val="ELECT"/>
      <sheetName val="(10) Other Costs5"/>
      <sheetName val="Material"/>
      <sheetName val="CGL"/>
      <sheetName val="Boq"/>
      <sheetName val="13. Steel - Ratio"/>
      <sheetName val="Pipe_spl_rate"/>
      <sheetName val="SATHUMID"/>
      <sheetName val="Civil Boq"/>
      <sheetName val="Foo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mom. distrn."/>
      <sheetName val="reaction-table"/>
      <sheetName val="moments-table(tri)"/>
      <sheetName val="moments-table(rect-base)"/>
      <sheetName val="IS3370-table"/>
      <sheetName val="Legal Risk Analysis"/>
      <sheetName val="Foo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 Boq"/>
      <sheetName val="Calculations"/>
      <sheetName val="List"/>
      <sheetName val="Pre-cast"/>
      <sheetName val="E1"/>
      <sheetName val="Civil_Boq"/>
      <sheetName val="ANALYSIS"/>
      <sheetName val="PIpe Pushing"/>
      <sheetName val="Pile cap"/>
      <sheetName val="SPT vs PHI"/>
      <sheetName val="std.wt."/>
      <sheetName val="moments-table(tri)"/>
      <sheetName val="Material "/>
      <sheetName val="RA-markate"/>
      <sheetName val="General Summary"/>
      <sheetName val="Pur"/>
      <sheetName val="Summary"/>
      <sheetName val="Chandrawal -1"/>
      <sheetName val="policies"/>
      <sheetName val="BOQ"/>
      <sheetName val="HDD"/>
      <sheetName val="Works"/>
      <sheetName val="FUSION"/>
      <sheetName val="OFC-Design"/>
      <sheetName val="PCS"/>
      <sheetName val="ETC"/>
      <sheetName val="Guide VAT_ED_Credit"/>
      <sheetName val="JTS"/>
      <sheetName val="AMC &amp; O&amp;M"/>
      <sheetName val="JTS Costing"/>
      <sheetName val="Instructions"/>
      <sheetName val="149"/>
      <sheetName val="Design"/>
      <sheetName val="conc-foot-gradeslab"/>
      <sheetName val="Abstract Sheet"/>
      <sheetName val="switch"/>
      <sheetName val="V.O.4 - PCC Qty"/>
      <sheetName val="floor slab-RS2"/>
      <sheetName val="THK"/>
      <sheetName val="BOQ_Direct_selling cost"/>
      <sheetName val="dummy"/>
      <sheetName val="COLUMN"/>
      <sheetName val="PRECAST lightconc-II"/>
      <sheetName val="sept-plan"/>
      <sheetName val="Legal Risk Analysis"/>
      <sheetName val="Break up Sheet"/>
      <sheetName val="Notes"/>
      <sheetName val="Staff Forecast spread"/>
      <sheetName val="Field Values"/>
      <sheetName val="Civil_Boq1"/>
      <sheetName val="SPT_vs_PHI"/>
      <sheetName val="std_wt_"/>
      <sheetName val="Pile_cap"/>
      <sheetName val="Material_"/>
      <sheetName val="Chandrawal_-1"/>
      <sheetName val="Guide_VAT_ED_Credit"/>
      <sheetName val="AMC_&amp;_O&amp;M"/>
      <sheetName val="JTS_Costing"/>
      <sheetName val="BOQ fire proofing"/>
      <sheetName val="+X &amp; -X DIR PRE"/>
      <sheetName val="d-safe specs"/>
      <sheetName val="1.01 (a)"/>
      <sheetName val="RES-PLANNING"/>
      <sheetName val="Pay_Sep06"/>
      <sheetName val="Sheet4"/>
      <sheetName val="Main-Material"/>
      <sheetName val="girder"/>
      <sheetName val="13. Steel - Ratio"/>
      <sheetName val="Footings"/>
      <sheetName val="WPR-IV"/>
      <sheetName val="Labour productivity"/>
      <sheetName val="Input"/>
      <sheetName val="x-items"/>
      <sheetName val="BOQ_Direct_selling_cost"/>
      <sheetName val="Staff_Forecast_spread"/>
      <sheetName val="floor_slab-RS2"/>
      <sheetName val="PRECAST_lightconc-II"/>
      <sheetName val="PIpe_Pushing"/>
      <sheetName val="d-safe_specs"/>
      <sheetName val="Labour_productivity"/>
      <sheetName val="BOQ (2)"/>
      <sheetName val="RECAPITULATION"/>
      <sheetName val="GBW"/>
      <sheetName val="TBAL9697 -group wise  sdpl"/>
      <sheetName val="AOR"/>
      <sheetName val="Costing"/>
      <sheetName val="RCC,Ret. Wall"/>
      <sheetName val="Balance sheet"/>
      <sheetName val="shuttering"/>
      <sheetName val="FORM7"/>
      <sheetName val="2.1 受電設備棟"/>
      <sheetName val="2.2 受・防火水槽"/>
      <sheetName val="2.3 排水処理設備棟"/>
      <sheetName val="2.4 倉庫棟"/>
      <sheetName val="2.5 守衛棟"/>
      <sheetName val="TASKRSRC (2)"/>
      <sheetName val="TARGET"/>
      <sheetName val="BASELINE"/>
      <sheetName val="MainSheet"/>
      <sheetName val="DETAIL SHEET"/>
      <sheetName val="spool"/>
      <sheetName val="Supplier"/>
      <sheetName val="CABLE DATA"/>
      <sheetName val="INPUT SHEET"/>
      <sheetName val="Extra Item"/>
      <sheetName val="Fill this out first..."/>
      <sheetName val="Lead"/>
      <sheetName val="Labour &amp; Plant"/>
      <sheetName val="Project Budget Worksheet"/>
      <sheetName val="organi synthesis lab"/>
      <sheetName val="UNIT2"/>
      <sheetName val="BOQ -II ph 2"/>
      <sheetName val="PointNo.5"/>
      <sheetName val="Fin Sum"/>
      <sheetName val="Detail"/>
      <sheetName val="Sheet1"/>
      <sheetName val="T1037 Entire School"/>
      <sheetName val="d-safe DELUXE"/>
      <sheetName val="RMZ Summary"/>
      <sheetName val="Employee List"/>
      <sheetName val="p&amp;m"/>
      <sheetName val="Plant Cost"/>
      <sheetName val="Purlin(7m)"/>
      <sheetName val="IS3370"/>
      <sheetName val="IS456"/>
      <sheetName val="Table10"/>
      <sheetName val="Table11"/>
      <sheetName val="Table12"/>
      <sheetName val="Table9"/>
      <sheetName val="P&amp;L-BDMC"/>
      <sheetName val="1st and 4th flight"/>
      <sheetName val="Vehicles"/>
      <sheetName val="VCH-SLC"/>
      <sheetName val="except wiring"/>
      <sheetName val="3cd Annexure"/>
      <sheetName val="10. &amp; 11. Rate Code &amp; BQ"/>
      <sheetName val="STAFFSCHED "/>
      <sheetName val="dBase"/>
      <sheetName val="PRECAST lightconc_II"/>
      <sheetName val="Voucher"/>
      <sheetName val="Basement Budget"/>
      <sheetName val="IO LIST"/>
      <sheetName val="LABOUR"/>
      <sheetName val="Aseet1998"/>
      <sheetName val="PC Master List"/>
      <sheetName val="Storage"/>
      <sheetName val="foot"/>
      <sheetName val="3-3(750)"/>
      <sheetName val="Calc1"/>
      <sheetName val="cubes_M20"/>
      <sheetName val="WWR"/>
      <sheetName val="Equipment"/>
      <sheetName val="ORDER BOOKING"/>
      <sheetName val="Macro1"/>
      <sheetName val="labour coeff"/>
      <sheetName val="Cal"/>
      <sheetName val="Data"/>
      <sheetName val="Boiler&amp;TG"/>
      <sheetName val="Construction"/>
      <sheetName val="Scope Reconciliation"/>
      <sheetName val="Names&amp;Cases"/>
      <sheetName val="Rate analysis"/>
      <sheetName val="main"/>
      <sheetName val="COST"/>
      <sheetName val="Site Dev BOQ"/>
      <sheetName val="Non-Factory"/>
      <sheetName val="Summary_Bank"/>
      <sheetName val="Fee Rate Summary"/>
      <sheetName val="beam-reinft"/>
      <sheetName val="Site wise NADs"/>
      <sheetName val="Sheet3"/>
      <sheetName val="Sheet2"/>
      <sheetName val="LANGUAGE"/>
      <sheetName val="Cover sheet"/>
      <sheetName val=" "/>
      <sheetName val="purpose&amp;input"/>
      <sheetName val="M.S."/>
      <sheetName val="INPUT_SHEET"/>
      <sheetName val="tower"/>
      <sheetName val="analysis-superstructure"/>
      <sheetName val="loadcal"/>
      <sheetName val="Current Bill MB ref"/>
      <sheetName val="NT LBH"/>
      <sheetName val="Desgn(zone I)"/>
      <sheetName val="Electrical"/>
      <sheetName val="Build-up"/>
      <sheetName val="AK-Offertstammblatt"/>
      <sheetName val="@Risk Inputs"/>
      <sheetName val="Calc"/>
      <sheetName val="Depreciation Calc"/>
      <sheetName val="b.s.-p.l.-sch."/>
      <sheetName val="Factors"/>
      <sheetName val="master"/>
      <sheetName val="Calc_ISC"/>
      <sheetName val="Tender Summary"/>
      <sheetName val="BOQ_SERENO"/>
      <sheetName val="T&amp;M"/>
      <sheetName val="Intro."/>
      <sheetName val="lookups"/>
      <sheetName val="Project Details.."/>
      <sheetName val="Top Line - WWW"/>
      <sheetName val="Wire"/>
      <sheetName val="Publicbuilding"/>
      <sheetName val="Mat_Cost"/>
      <sheetName val="Staff Acco."/>
      <sheetName val="Activity Costing Breakup"/>
      <sheetName val="Unit Rate(CIS)"/>
      <sheetName val="Conc Analysis"/>
      <sheetName val="Basic "/>
      <sheetName val="Back-UP IRA (CIS)"/>
      <sheetName val="Precast IRA"/>
      <sheetName val="Precast IRA Backup"/>
      <sheetName val="Precast RA"/>
      <sheetName val="HEAD"/>
      <sheetName val="Invoice"/>
      <sheetName val="POI_MASTER_1"/>
      <sheetName val="nglrpt042964858"/>
      <sheetName val="Trial Bal"/>
      <sheetName val="DG3285"/>
      <sheetName val="BOQ Distribution"/>
      <sheetName val="Block A - BOQ"/>
      <sheetName val="Blok (5 - 5A)"/>
      <sheetName val="Blok (6)"/>
      <sheetName val="Blok (7)"/>
      <sheetName val="rev 01"/>
      <sheetName val="3"/>
      <sheetName val="Detailed Summary (5)"/>
      <sheetName val="M.R.List (2)"/>
      <sheetName val="Cul_detail"/>
      <sheetName val="Cashflow projection"/>
      <sheetName val="Summary year Plan"/>
      <sheetName val="SC revtrgt"/>
      <sheetName val="目录"/>
      <sheetName val="Final Summary"/>
      <sheetName val="final abstract"/>
      <sheetName val="#BEZ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hubham Bidave" id="{BD9198CA-D11D-4FB6-B20C-09AB01959D01}" userId="S::sbidave@chemito.net::0a60fb83-01b8-487e-9f99-b91b138144d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6" dT="2025-12-24T10:17:11.39" personId="{BD9198CA-D11D-4FB6-B20C-09AB01959D01}" id="{E2E37596-6059-4C65-BB76-D5E809FDA3ED}">
    <text>BSRTC</text>
  </threadedComment>
  <threadedComment ref="T6" dT="2025-12-24T10:17:25.24" personId="{BD9198CA-D11D-4FB6-B20C-09AB01959D01}" id="{6E5BDE22-FFB2-4A12-ADCE-38F17A37F3E6}">
    <text>Hindustan Zinc</text>
  </threadedComment>
  <threadedComment ref="U6" dT="2025-12-24T10:17:11.39" personId="{BD9198CA-D11D-4FB6-B20C-09AB01959D01}" id="{8F30D646-0EB0-418F-9981-97751C793B85}">
    <text>BSRTC</text>
  </threadedComment>
  <threadedComment ref="V6" dT="2025-12-24T10:17:25.24" personId="{BD9198CA-D11D-4FB6-B20C-09AB01959D01}" id="{44946326-894A-4AA7-8C7A-7D675A28F96A}">
    <text>Hindustan Zinc</text>
  </threadedComment>
  <threadedComment ref="AM58" dT="2025-12-24T09:52:03.54" personId="{BD9198CA-D11D-4FB6-B20C-09AB01959D01}" id="{BC2890E8-C758-4E94-A1BF-9C9C73F2A055}">
    <text>TGSRTC</text>
  </threadedComment>
  <threadedComment ref="I59" dT="2026-01-03T06:27:29.38" personId="{BD9198CA-D11D-4FB6-B20C-09AB01959D01}" id="{81C3D436-5712-4E2C-8B76-792585F57DC7}">
    <text>New Addition as per 03012026</text>
  </threadedComment>
  <threadedComment ref="I59" dT="2026-01-03T06:37:15.36" personId="{BD9198CA-D11D-4FB6-B20C-09AB01959D01}" id="{9A6C60DF-17AF-43A7-B75A-C3A6E594FE6C}" parentId="{81C3D436-5712-4E2C-8B76-792585F57DC7}">
    <text>9 M Vidya Delhi 25 Sets- 08-01-2026
9 M Vidya 25 Sets- 18-01-2026</text>
  </threadedComment>
  <threadedComment ref="K59" dT="2026-01-03T06:30:28.40" personId="{BD9198CA-D11D-4FB6-B20C-09AB01959D01}" id="{4F510A4E-94A4-40B1-87BA-6FF9507C0F56}">
    <text xml:space="preserve">Updated by Sandeep 03012026
</text>
  </threadedComment>
  <threadedComment ref="K59" dT="2026-01-03T06:36:12.94" personId="{BD9198CA-D11D-4FB6-B20C-09AB01959D01}" id="{D73B76C8-1C9D-480F-B7A9-53C3668697D2}" parentId="{4F510A4E-94A4-40B1-87BA-6FF9507C0F56}">
    <text>1. 12M Vidya- Earlier 30 set dispatch with 1 WH remaining 29 WH dispatch by-05-01-2026 
2. 12  Vidya- 25 sets- 12-01-2026
3. 12M Vidya 25 Sets- 15-01-2026</text>
  </threadedComment>
  <threadedComment ref="Q59" dT="2026-01-03T06:32:49.78" personId="{BD9198CA-D11D-4FB6-B20C-09AB01959D01}" id="{08E36EA9-6005-4C7C-B785-C03E26C1F959}">
    <text>updated schedule 8 as per PO and sales customer</text>
  </threadedComment>
  <threadedComment ref="Q59" dT="2026-01-03T06:37:59.17" personId="{BD9198CA-D11D-4FB6-B20C-09AB01959D01}" id="{6D539A88-B275-4BD5-8DD4-81DDEC8D9A51}" parentId="{08E36EA9-6005-4C7C-B785-C03E26C1F959}">
    <text>8 Sets by 05-01-2026</text>
  </threadedComment>
  <threadedComment ref="AM59" dT="2025-12-24T09:51:46.34" personId="{BD9198CA-D11D-4FB6-B20C-09AB01959D01}" id="{AB1E87EE-33B8-4253-BB56-28FF29C13E9F}">
    <text>TGSRTC-164, RSRTC-20</text>
  </threadedComment>
  <threadedComment ref="S60" dT="2025-12-24T09:46:24.61" personId="{BD9198CA-D11D-4FB6-B20C-09AB01959D01}" id="{83C701F1-9F2F-450B-A23A-DB9D7013BE73}">
    <text xml:space="preserve">BSRTC-85 Nos, Hindustan Zinc-20+10 Nos
</text>
  </threadedComment>
  <threadedComment ref="AM60" dT="2025-12-24T09:54:03.21" personId="{BD9198CA-D11D-4FB6-B20C-09AB01959D01}" id="{DD149CCB-9159-4D3F-814E-59E4C08E3812}">
    <text>RSRTC-Asia Body Builder-25, RSRTC 200</text>
  </threadedComment>
  <threadedComment ref="S61" dT="2025-12-24T09:46:54.70" personId="{BD9198CA-D11D-4FB6-B20C-09AB01959D01}" id="{F284BA55-7041-4FE1-BC22-DA14FC8F87BB}">
    <text>BSRTC-85 Nos, Hindustan Zinc-20+10 Nos</text>
  </threadedComment>
  <threadedComment ref="U61" dT="2025-12-24T09:46:54.70" personId="{BD9198CA-D11D-4FB6-B20C-09AB01959D01}" id="{4923612D-3614-4F3D-805D-52FD823C4870}">
    <text>BSRTC-85 Nos, Hindustan Zinc-20+10 Nos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35" dT="2026-01-09T12:29:35.39" personId="{BD9198CA-D11D-4FB6-B20C-09AB01959D01}" id="{363C051F-1398-48A6-947D-CF5D91B6EE68}">
    <text>8 Nos Order Received Rest pending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512A6D-980E-4D3F-AD87-47B59F511193}">
  <we:reference id="wa200004684" version="1.1.0.0" store="en-US" storeType="OMEX"/>
  <we:alternateReferences>
    <we:reference id="WA200004684" version="1.1.0.0" store="WA200004684" storeType="OMEX"/>
  </we:alternateReferences>
  <we:properties>
    <we:property name="Comments" value="[]"/>
    <we:property name="MessageVisibility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08D1-BBD7-41DE-BE53-E79D5547E953}">
  <sheetPr>
    <tabColor rgb="FFFFC000"/>
  </sheetPr>
  <dimension ref="A1:AW63"/>
  <sheetViews>
    <sheetView tabSelected="1" zoomScale="113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B17" sqref="B17"/>
    </sheetView>
  </sheetViews>
  <sheetFormatPr baseColWidth="10" defaultColWidth="8.83203125" defaultRowHeight="15" x14ac:dyDescent="0.2"/>
  <cols>
    <col min="1" max="1" width="3.33203125" style="1" bestFit="1" customWidth="1"/>
    <col min="2" max="2" width="42.33203125" style="2" bestFit="1" customWidth="1"/>
    <col min="3" max="3" width="8.1640625" style="3" bestFit="1" customWidth="1"/>
    <col min="4" max="4" width="8.1640625" style="3" customWidth="1"/>
    <col min="5" max="5" width="17" style="4" bestFit="1" customWidth="1"/>
    <col min="6" max="6" width="5.1640625" style="4" bestFit="1" customWidth="1"/>
    <col min="7" max="7" width="17" style="4" bestFit="1" customWidth="1"/>
    <col min="8" max="8" width="5.1640625" style="4" bestFit="1" customWidth="1"/>
    <col min="9" max="9" width="17" style="4" bestFit="1" customWidth="1"/>
    <col min="10" max="10" width="5.1640625" style="4" bestFit="1" customWidth="1"/>
    <col min="11" max="11" width="17" style="28" bestFit="1" customWidth="1"/>
    <col min="12" max="12" width="5.1640625" style="4" bestFit="1" customWidth="1"/>
    <col min="13" max="13" width="17" style="4" bestFit="1" customWidth="1"/>
    <col min="14" max="14" width="5.1640625" style="4" bestFit="1" customWidth="1"/>
    <col min="15" max="15" width="17" style="4" bestFit="1" customWidth="1"/>
    <col min="16" max="16" width="8" style="4" bestFit="1" customWidth="1"/>
    <col min="17" max="17" width="17" style="1" bestFit="1" customWidth="1"/>
    <col min="18" max="18" width="4.83203125" style="4" bestFit="1" customWidth="1"/>
    <col min="19" max="19" width="17" style="1" bestFit="1" customWidth="1"/>
    <col min="20" max="20" width="14.33203125" style="1" customWidth="1"/>
    <col min="21" max="21" width="17" style="1" bestFit="1" customWidth="1"/>
    <col min="22" max="22" width="14.33203125" style="1" customWidth="1"/>
    <col min="23" max="23" width="17" style="1" bestFit="1" customWidth="1"/>
    <col min="24" max="24" width="5.1640625" style="1" bestFit="1" customWidth="1"/>
    <col min="25" max="25" width="17" style="1" bestFit="1" customWidth="1"/>
    <col min="26" max="26" width="5.1640625" style="1" bestFit="1" customWidth="1"/>
    <col min="27" max="27" width="17" style="1" bestFit="1" customWidth="1"/>
    <col min="28" max="28" width="4.83203125" style="1" bestFit="1" customWidth="1"/>
    <col min="29" max="29" width="17" style="1" bestFit="1" customWidth="1"/>
    <col min="30" max="30" width="5.1640625" style="1" bestFit="1" customWidth="1"/>
    <col min="31" max="31" width="20" style="1" customWidth="1"/>
    <col min="32" max="32" width="6.83203125" style="1" customWidth="1"/>
    <col min="33" max="33" width="17" style="1" bestFit="1" customWidth="1"/>
    <col min="34" max="34" width="4.83203125" style="1" bestFit="1" customWidth="1"/>
    <col min="35" max="35" width="17" style="1" bestFit="1" customWidth="1"/>
    <col min="36" max="36" width="5.1640625" style="1" bestFit="1" customWidth="1"/>
    <col min="37" max="37" width="17" style="1" bestFit="1" customWidth="1"/>
    <col min="38" max="38" width="5.1640625" style="1" bestFit="1" customWidth="1"/>
    <col min="39" max="39" width="17" style="1" bestFit="1" customWidth="1"/>
    <col min="40" max="40" width="5.1640625" style="1" bestFit="1" customWidth="1"/>
    <col min="41" max="41" width="17" style="1" bestFit="1" customWidth="1"/>
    <col min="42" max="42" width="5.1640625" style="1" bestFit="1" customWidth="1"/>
    <col min="43" max="43" width="17" style="1" bestFit="1" customWidth="1"/>
    <col min="44" max="44" width="4.83203125" style="1" bestFit="1" customWidth="1"/>
    <col min="45" max="45" width="17" style="1" bestFit="1" customWidth="1"/>
    <col min="46" max="46" width="4.83203125" style="4" bestFit="1" customWidth="1"/>
    <col min="47" max="47" width="17" style="1" bestFit="1" customWidth="1"/>
    <col min="48" max="48" width="4.83203125" style="4" bestFit="1" customWidth="1"/>
    <col min="49" max="49" width="17.83203125" style="45" bestFit="1" customWidth="1"/>
    <col min="50" max="16384" width="8.83203125" style="4"/>
  </cols>
  <sheetData>
    <row r="1" spans="1:49" x14ac:dyDescent="0.2"/>
    <row r="2" spans="1:49" ht="16" x14ac:dyDescent="0.2">
      <c r="A2" s="95" t="s">
        <v>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180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74"/>
      <c r="AQ2" s="74"/>
      <c r="AR2" s="74"/>
      <c r="AS2" s="74"/>
      <c r="AT2" s="74"/>
      <c r="AU2" s="74"/>
      <c r="AV2" s="74"/>
      <c r="AW2" s="48" t="s">
        <v>1</v>
      </c>
    </row>
    <row r="3" spans="1:49" x14ac:dyDescent="0.2">
      <c r="A3" s="5"/>
      <c r="B3" s="5"/>
      <c r="C3" s="5"/>
      <c r="D3" s="5"/>
      <c r="E3" s="76" t="s">
        <v>2</v>
      </c>
      <c r="F3" s="90"/>
      <c r="G3" s="90"/>
      <c r="H3" s="94"/>
      <c r="I3" s="76" t="s">
        <v>3</v>
      </c>
      <c r="J3" s="90"/>
      <c r="K3" s="90"/>
      <c r="L3" s="90"/>
      <c r="M3" s="90"/>
      <c r="N3" s="90"/>
      <c r="O3" s="90"/>
      <c r="P3" s="90"/>
      <c r="Q3" s="94"/>
      <c r="R3" s="75"/>
      <c r="S3" s="75" t="s">
        <v>4</v>
      </c>
      <c r="T3" s="94"/>
      <c r="U3" s="76" t="s">
        <v>4</v>
      </c>
      <c r="V3" s="94"/>
      <c r="W3" s="99" t="s">
        <v>4</v>
      </c>
      <c r="X3" s="179"/>
      <c r="Y3" s="178" t="s">
        <v>6</v>
      </c>
      <c r="Z3" s="94"/>
      <c r="AA3" s="76" t="s">
        <v>7</v>
      </c>
      <c r="AB3" s="94"/>
      <c r="AC3" s="76" t="s">
        <v>8</v>
      </c>
      <c r="AD3" s="94"/>
      <c r="AE3" s="76" t="s">
        <v>9</v>
      </c>
      <c r="AF3" s="94"/>
      <c r="AG3" s="76"/>
      <c r="AH3" s="76"/>
      <c r="AI3" s="76" t="s">
        <v>10</v>
      </c>
      <c r="AJ3" s="94"/>
      <c r="AK3" s="76" t="s">
        <v>11</v>
      </c>
      <c r="AL3" s="94"/>
      <c r="AM3" s="76" t="s">
        <v>12</v>
      </c>
      <c r="AN3" s="94"/>
      <c r="AO3" s="76" t="s">
        <v>13</v>
      </c>
      <c r="AP3" s="94"/>
      <c r="AQ3" s="387" t="s">
        <v>14</v>
      </c>
      <c r="AR3" s="388"/>
      <c r="AS3" s="387" t="s">
        <v>15</v>
      </c>
      <c r="AT3" s="388"/>
      <c r="AU3" s="387" t="s">
        <v>89</v>
      </c>
      <c r="AV3" s="388"/>
      <c r="AW3" s="5"/>
    </row>
    <row r="4" spans="1:49" x14ac:dyDescent="0.2">
      <c r="A4" s="5"/>
      <c r="B4" s="5"/>
      <c r="C4" s="5"/>
      <c r="D4" s="69"/>
      <c r="E4" s="76" t="s">
        <v>16</v>
      </c>
      <c r="F4" s="94"/>
      <c r="G4" s="76" t="s">
        <v>17</v>
      </c>
      <c r="H4" s="94"/>
      <c r="I4" s="76" t="s">
        <v>18</v>
      </c>
      <c r="J4" s="94"/>
      <c r="K4" s="76" t="s">
        <v>19</v>
      </c>
      <c r="L4" s="94"/>
      <c r="M4" s="76" t="s">
        <v>20</v>
      </c>
      <c r="N4" s="94"/>
      <c r="O4" s="76" t="s">
        <v>21</v>
      </c>
      <c r="P4" s="94"/>
      <c r="Q4" s="76" t="s">
        <v>22</v>
      </c>
      <c r="R4" s="94"/>
      <c r="S4" s="76" t="s">
        <v>23</v>
      </c>
      <c r="T4" s="94"/>
      <c r="U4" s="76" t="s">
        <v>24</v>
      </c>
      <c r="V4" s="94"/>
      <c r="W4" s="76" t="s">
        <v>90</v>
      </c>
      <c r="X4" s="94"/>
      <c r="Y4" s="181"/>
      <c r="Z4" s="75"/>
      <c r="AA4" s="75"/>
      <c r="AB4" s="75"/>
      <c r="AC4" s="75"/>
      <c r="AD4" s="75"/>
      <c r="AE4" s="76" t="s">
        <v>91</v>
      </c>
      <c r="AF4" s="94"/>
      <c r="AG4" s="76" t="s">
        <v>25</v>
      </c>
      <c r="AH4" s="94"/>
      <c r="AI4" s="76" t="s">
        <v>26</v>
      </c>
      <c r="AJ4" s="94"/>
      <c r="AK4" s="76" t="s">
        <v>27</v>
      </c>
      <c r="AL4" s="94"/>
      <c r="AM4" s="75"/>
      <c r="AN4" s="75"/>
      <c r="AO4" s="75"/>
      <c r="AP4" s="75"/>
      <c r="AQ4" s="387" t="s">
        <v>28</v>
      </c>
      <c r="AR4" s="388"/>
      <c r="AS4" s="387" t="s">
        <v>29</v>
      </c>
      <c r="AT4" s="388"/>
      <c r="AU4" s="387"/>
      <c r="AV4" s="388"/>
      <c r="AW4" s="5"/>
    </row>
    <row r="5" spans="1:49" ht="32" x14ac:dyDescent="0.2">
      <c r="A5" s="6" t="s">
        <v>30</v>
      </c>
      <c r="B5" s="6" t="s">
        <v>31</v>
      </c>
      <c r="C5" s="6" t="s">
        <v>32</v>
      </c>
      <c r="D5" s="6" t="s">
        <v>33</v>
      </c>
      <c r="E5" s="6" t="s">
        <v>34</v>
      </c>
      <c r="F5" s="6" t="s">
        <v>35</v>
      </c>
      <c r="G5" s="6" t="s">
        <v>34</v>
      </c>
      <c r="H5" s="6" t="s">
        <v>35</v>
      </c>
      <c r="I5" s="6" t="s">
        <v>34</v>
      </c>
      <c r="J5" s="6" t="s">
        <v>35</v>
      </c>
      <c r="K5" s="7" t="s">
        <v>34</v>
      </c>
      <c r="L5" s="6" t="s">
        <v>35</v>
      </c>
      <c r="M5" s="6" t="s">
        <v>34</v>
      </c>
      <c r="N5" s="6" t="s">
        <v>35</v>
      </c>
      <c r="O5" s="6" t="s">
        <v>34</v>
      </c>
      <c r="P5" s="6" t="s">
        <v>35</v>
      </c>
      <c r="Q5" s="6" t="s">
        <v>34</v>
      </c>
      <c r="R5" s="6" t="s">
        <v>35</v>
      </c>
      <c r="S5" s="6" t="s">
        <v>34</v>
      </c>
      <c r="T5" s="6" t="s">
        <v>35</v>
      </c>
      <c r="U5" s="6" t="s">
        <v>34</v>
      </c>
      <c r="V5" s="6" t="s">
        <v>35</v>
      </c>
      <c r="W5" s="6" t="s">
        <v>34</v>
      </c>
      <c r="X5" s="6" t="s">
        <v>35</v>
      </c>
      <c r="Y5" s="6" t="s">
        <v>34</v>
      </c>
      <c r="Z5" s="6" t="s">
        <v>35</v>
      </c>
      <c r="AA5" s="6" t="s">
        <v>34</v>
      </c>
      <c r="AB5" s="6" t="s">
        <v>35</v>
      </c>
      <c r="AC5" s="6" t="s">
        <v>34</v>
      </c>
      <c r="AD5" s="6" t="s">
        <v>35</v>
      </c>
      <c r="AE5" s="64" t="s">
        <v>34</v>
      </c>
      <c r="AF5" s="6" t="s">
        <v>35</v>
      </c>
      <c r="AG5" s="64" t="s">
        <v>34</v>
      </c>
      <c r="AH5" s="6" t="s">
        <v>35</v>
      </c>
      <c r="AI5" s="6" t="s">
        <v>34</v>
      </c>
      <c r="AJ5" s="6" t="s">
        <v>35</v>
      </c>
      <c r="AK5" s="6" t="s">
        <v>34</v>
      </c>
      <c r="AL5" s="6" t="s">
        <v>35</v>
      </c>
      <c r="AM5" s="6" t="s">
        <v>34</v>
      </c>
      <c r="AN5" s="6" t="s">
        <v>35</v>
      </c>
      <c r="AO5" s="6" t="s">
        <v>34</v>
      </c>
      <c r="AP5" s="6" t="s">
        <v>35</v>
      </c>
      <c r="AQ5" s="6" t="s">
        <v>34</v>
      </c>
      <c r="AR5" s="6" t="s">
        <v>35</v>
      </c>
      <c r="AS5" s="6" t="s">
        <v>34</v>
      </c>
      <c r="AT5" s="6" t="s">
        <v>35</v>
      </c>
      <c r="AU5" s="6" t="s">
        <v>34</v>
      </c>
      <c r="AV5" s="6" t="s">
        <v>35</v>
      </c>
      <c r="AW5" s="46" t="s">
        <v>34</v>
      </c>
    </row>
    <row r="6" spans="1:49" x14ac:dyDescent="0.2">
      <c r="A6" s="6"/>
      <c r="B6" s="6"/>
      <c r="C6" s="6"/>
      <c r="D6" s="6"/>
      <c r="E6" s="49">
        <f>450-55</f>
        <v>395</v>
      </c>
      <c r="F6" s="6"/>
      <c r="G6" s="49">
        <v>292</v>
      </c>
      <c r="H6" s="6"/>
      <c r="I6" s="49">
        <v>350</v>
      </c>
      <c r="J6" s="6"/>
      <c r="K6" s="59">
        <v>300</v>
      </c>
      <c r="L6" s="6"/>
      <c r="M6" s="49">
        <v>20</v>
      </c>
      <c r="N6" s="6"/>
      <c r="O6" s="49">
        <v>0</v>
      </c>
      <c r="P6" s="6"/>
      <c r="Q6" s="49">
        <v>50</v>
      </c>
      <c r="R6" s="6"/>
      <c r="S6" s="49">
        <v>150</v>
      </c>
      <c r="T6" s="49"/>
      <c r="U6" s="49">
        <v>20</v>
      </c>
      <c r="V6" s="49"/>
      <c r="W6" s="75">
        <v>400</v>
      </c>
      <c r="X6" s="6"/>
      <c r="Y6" s="49">
        <v>2100</v>
      </c>
      <c r="Z6" s="6"/>
      <c r="AA6" s="49">
        <v>900</v>
      </c>
      <c r="AB6" s="6"/>
      <c r="AC6" s="49">
        <v>22</v>
      </c>
      <c r="AD6" s="6"/>
      <c r="AE6" s="75">
        <v>620</v>
      </c>
      <c r="AF6" s="61"/>
      <c r="AG6" s="60">
        <v>200</v>
      </c>
      <c r="AH6" s="61"/>
      <c r="AI6" s="75">
        <v>220</v>
      </c>
      <c r="AJ6" s="61"/>
      <c r="AK6" s="49">
        <v>75</v>
      </c>
      <c r="AL6" s="61"/>
      <c r="AM6" s="75">
        <f>194+200</f>
        <v>394</v>
      </c>
      <c r="AN6" s="61"/>
      <c r="AO6" s="75">
        <v>63</v>
      </c>
      <c r="AP6" s="61"/>
      <c r="AQ6" s="60">
        <v>425</v>
      </c>
      <c r="AR6" s="61"/>
      <c r="AS6" s="60">
        <v>100</v>
      </c>
      <c r="AT6" s="43"/>
      <c r="AU6" s="60">
        <v>5000</v>
      </c>
      <c r="AV6" s="43"/>
      <c r="AW6" s="47">
        <f>SUM(E6:AS6)</f>
        <v>7096</v>
      </c>
    </row>
    <row r="7" spans="1:49" x14ac:dyDescent="0.2">
      <c r="A7" s="8">
        <v>1</v>
      </c>
      <c r="B7" s="246" t="s">
        <v>36</v>
      </c>
      <c r="C7" s="9">
        <v>1</v>
      </c>
      <c r="D7" s="9"/>
      <c r="E7" s="23">
        <f>$E$6*C7</f>
        <v>395</v>
      </c>
      <c r="F7" s="23"/>
      <c r="G7" s="23">
        <f>$G$6*C7</f>
        <v>292</v>
      </c>
      <c r="H7" s="11"/>
      <c r="I7" s="11">
        <f>$I$6*C7</f>
        <v>350</v>
      </c>
      <c r="J7" s="11"/>
      <c r="K7" s="29">
        <f>$K$6*C7</f>
        <v>300</v>
      </c>
      <c r="L7" s="11"/>
      <c r="M7" s="11">
        <f>$M$6*C7</f>
        <v>20</v>
      </c>
      <c r="N7" s="11"/>
      <c r="O7" s="11">
        <f>$O$6*C7</f>
        <v>0</v>
      </c>
      <c r="P7" s="247"/>
      <c r="Q7" s="248">
        <f>$Q$6*C7</f>
        <v>50</v>
      </c>
      <c r="R7" s="247"/>
      <c r="S7" s="248"/>
      <c r="T7" s="248"/>
      <c r="U7" s="248">
        <f>U6*C7</f>
        <v>20</v>
      </c>
      <c r="V7" s="248"/>
      <c r="W7" s="249">
        <f>$W$6*C7</f>
        <v>400</v>
      </c>
      <c r="X7" s="249"/>
      <c r="Y7" s="249">
        <f>C7*$Y$6</f>
        <v>2100</v>
      </c>
      <c r="Z7" s="249"/>
      <c r="AA7" s="249">
        <f>$AA$6*C7</f>
        <v>900</v>
      </c>
      <c r="AB7" s="249"/>
      <c r="AC7" s="11"/>
      <c r="AD7" s="33"/>
      <c r="AE7" s="12"/>
      <c r="AF7" s="33"/>
      <c r="AG7" s="33"/>
      <c r="AH7" s="33"/>
      <c r="AI7" s="12"/>
      <c r="AJ7" s="33"/>
      <c r="AK7" s="12"/>
      <c r="AL7" s="33"/>
      <c r="AM7" s="12"/>
      <c r="AN7" s="33"/>
      <c r="AO7" s="12">
        <f>$AO$6*C7</f>
        <v>63</v>
      </c>
      <c r="AP7" s="33"/>
      <c r="AQ7" s="33">
        <f>$AQ$6*C7</f>
        <v>425</v>
      </c>
      <c r="AR7" s="33"/>
      <c r="AS7" s="33"/>
      <c r="AT7" s="44"/>
      <c r="AU7" s="33">
        <v>5000</v>
      </c>
      <c r="AV7" s="44"/>
      <c r="AW7" s="47">
        <f t="shared" ref="AW7:AW54" si="0">SUM(E7:AS7)</f>
        <v>5315</v>
      </c>
    </row>
    <row r="8" spans="1:49" x14ac:dyDescent="0.2">
      <c r="A8" s="8">
        <f>A7+1</f>
        <v>2</v>
      </c>
      <c r="B8" s="246" t="s">
        <v>37</v>
      </c>
      <c r="C8" s="250">
        <v>1</v>
      </c>
      <c r="D8" s="250"/>
      <c r="E8" s="11"/>
      <c r="F8" s="34"/>
      <c r="G8" s="11"/>
      <c r="H8" s="34"/>
      <c r="I8" s="11"/>
      <c r="J8" s="34"/>
      <c r="K8" s="29"/>
      <c r="L8" s="35"/>
      <c r="M8" s="12"/>
      <c r="N8" s="35"/>
      <c r="O8" s="11"/>
      <c r="P8" s="247"/>
      <c r="Q8" s="248"/>
      <c r="R8" s="247"/>
      <c r="S8" s="248"/>
      <c r="T8" s="248"/>
      <c r="U8" s="248"/>
      <c r="V8" s="248"/>
      <c r="W8" s="249"/>
      <c r="X8" s="248"/>
      <c r="Y8" s="249"/>
      <c r="Z8" s="248"/>
      <c r="AA8" s="249"/>
      <c r="AB8" s="248"/>
      <c r="AC8" s="11">
        <f>$AC$6*C8</f>
        <v>22</v>
      </c>
      <c r="AD8" s="33"/>
      <c r="AE8" s="12">
        <f>$AE$6*C8</f>
        <v>620</v>
      </c>
      <c r="AF8" s="33"/>
      <c r="AG8" s="33">
        <f>$AG$6*C8</f>
        <v>200</v>
      </c>
      <c r="AH8" s="33"/>
      <c r="AI8" s="12">
        <f>$AI$6*C8</f>
        <v>220</v>
      </c>
      <c r="AJ8" s="33"/>
      <c r="AK8" s="12">
        <f>$AK$6*C8</f>
        <v>75</v>
      </c>
      <c r="AL8" s="33"/>
      <c r="AM8" s="12"/>
      <c r="AN8" s="33"/>
      <c r="AO8" s="12"/>
      <c r="AP8" s="33"/>
      <c r="AQ8" s="33"/>
      <c r="AR8" s="33"/>
      <c r="AS8" s="33"/>
      <c r="AT8" s="44"/>
      <c r="AU8" s="33"/>
      <c r="AV8" s="44"/>
      <c r="AW8" s="47">
        <f t="shared" si="0"/>
        <v>1137</v>
      </c>
    </row>
    <row r="9" spans="1:49" x14ac:dyDescent="0.2">
      <c r="A9" s="8">
        <f t="shared" ref="A9:A54" si="1">A8+1</f>
        <v>3</v>
      </c>
      <c r="B9" s="246" t="s">
        <v>38</v>
      </c>
      <c r="C9" s="250">
        <v>1</v>
      </c>
      <c r="D9" s="250"/>
      <c r="E9" s="11"/>
      <c r="F9" s="34"/>
      <c r="G9" s="11"/>
      <c r="H9" s="34"/>
      <c r="I9" s="11"/>
      <c r="J9" s="34"/>
      <c r="K9" s="29"/>
      <c r="L9" s="35"/>
      <c r="M9" s="12"/>
      <c r="N9" s="35"/>
      <c r="O9" s="11"/>
      <c r="P9" s="247"/>
      <c r="Q9" s="248"/>
      <c r="R9" s="247"/>
      <c r="S9" s="248"/>
      <c r="T9" s="248"/>
      <c r="U9" s="248"/>
      <c r="V9" s="248"/>
      <c r="W9" s="249"/>
      <c r="X9" s="248"/>
      <c r="Y9" s="249"/>
      <c r="Z9" s="248"/>
      <c r="AA9" s="249"/>
      <c r="AB9" s="248"/>
      <c r="AC9" s="11"/>
      <c r="AD9" s="33"/>
      <c r="AE9" s="12"/>
      <c r="AF9" s="33"/>
      <c r="AG9" s="33"/>
      <c r="AH9" s="33"/>
      <c r="AI9" s="12"/>
      <c r="AJ9" s="33"/>
      <c r="AK9" s="12"/>
      <c r="AL9" s="33"/>
      <c r="AM9" s="12"/>
      <c r="AN9" s="33"/>
      <c r="AO9" s="12"/>
      <c r="AP9" s="33"/>
      <c r="AQ9" s="33"/>
      <c r="AR9" s="33"/>
      <c r="AS9" s="33">
        <f>$AS$6*C9</f>
        <v>100</v>
      </c>
      <c r="AT9" s="44"/>
      <c r="AU9" s="33"/>
      <c r="AV9" s="44"/>
      <c r="AW9" s="47">
        <f t="shared" si="0"/>
        <v>100</v>
      </c>
    </row>
    <row r="10" spans="1:49" x14ac:dyDescent="0.2">
      <c r="A10" s="8">
        <f t="shared" si="1"/>
        <v>4</v>
      </c>
      <c r="B10" s="246" t="s">
        <v>39</v>
      </c>
      <c r="C10" s="13">
        <v>1</v>
      </c>
      <c r="D10" s="13"/>
      <c r="E10" s="13"/>
      <c r="F10" s="40"/>
      <c r="G10" s="23"/>
      <c r="H10" s="34"/>
      <c r="I10" s="11"/>
      <c r="J10" s="34"/>
      <c r="K10" s="29"/>
      <c r="L10" s="35"/>
      <c r="M10" s="12"/>
      <c r="N10" s="35"/>
      <c r="O10" s="11"/>
      <c r="P10" s="247"/>
      <c r="Q10" s="248"/>
      <c r="R10" s="247"/>
      <c r="S10" s="248"/>
      <c r="T10" s="248"/>
      <c r="U10" s="248"/>
      <c r="V10" s="248"/>
      <c r="W10" s="249"/>
      <c r="X10" s="248"/>
      <c r="Y10" s="249"/>
      <c r="Z10" s="248"/>
      <c r="AA10" s="249"/>
      <c r="AB10" s="248"/>
      <c r="AC10" s="11"/>
      <c r="AD10" s="33"/>
      <c r="AE10" s="12"/>
      <c r="AF10" s="33"/>
      <c r="AG10" s="33"/>
      <c r="AH10" s="33"/>
      <c r="AI10" s="12"/>
      <c r="AJ10" s="33"/>
      <c r="AK10" s="12"/>
      <c r="AL10" s="33"/>
      <c r="AM10" s="12"/>
      <c r="AN10" s="33"/>
      <c r="AO10" s="12"/>
      <c r="AP10" s="33"/>
      <c r="AQ10" s="33"/>
      <c r="AR10" s="33"/>
      <c r="AS10" s="33"/>
      <c r="AT10" s="44"/>
      <c r="AU10" s="33"/>
      <c r="AV10" s="44"/>
      <c r="AW10" s="47">
        <f t="shared" si="0"/>
        <v>0</v>
      </c>
    </row>
    <row r="11" spans="1:49" x14ac:dyDescent="0.2">
      <c r="A11" s="8">
        <f t="shared" si="1"/>
        <v>5</v>
      </c>
      <c r="B11" s="246" t="s">
        <v>40</v>
      </c>
      <c r="C11" s="13">
        <v>1</v>
      </c>
      <c r="D11" s="13"/>
      <c r="E11" s="23">
        <f>$E$6*C11</f>
        <v>395</v>
      </c>
      <c r="F11" s="40"/>
      <c r="G11" s="23">
        <f>$G$6*C11</f>
        <v>292</v>
      </c>
      <c r="H11" s="34"/>
      <c r="I11" s="11">
        <f>$I$6*C11</f>
        <v>350</v>
      </c>
      <c r="J11" s="34"/>
      <c r="K11" s="29">
        <f>$K$6*C11</f>
        <v>300</v>
      </c>
      <c r="L11" s="35"/>
      <c r="M11" s="12"/>
      <c r="N11" s="35"/>
      <c r="O11" s="11"/>
      <c r="P11" s="247"/>
      <c r="Q11" s="248"/>
      <c r="R11" s="247"/>
      <c r="S11" s="248"/>
      <c r="T11" s="248"/>
      <c r="U11" s="248">
        <f>$U$6*C11</f>
        <v>20</v>
      </c>
      <c r="V11" s="248"/>
      <c r="W11" s="249"/>
      <c r="X11" s="248"/>
      <c r="Y11" s="249"/>
      <c r="Z11" s="248"/>
      <c r="AA11" s="249"/>
      <c r="AB11" s="248"/>
      <c r="AC11" s="11"/>
      <c r="AD11" s="33"/>
      <c r="AE11" s="12"/>
      <c r="AF11" s="33"/>
      <c r="AG11" s="33"/>
      <c r="AH11" s="33"/>
      <c r="AI11" s="12"/>
      <c r="AJ11" s="33"/>
      <c r="AK11" s="12"/>
      <c r="AL11" s="33"/>
      <c r="AM11" s="12"/>
      <c r="AN11" s="33"/>
      <c r="AO11" s="12">
        <f>$AO$6*C11</f>
        <v>63</v>
      </c>
      <c r="AP11" s="33"/>
      <c r="AQ11" s="33"/>
      <c r="AR11" s="33"/>
      <c r="AS11" s="33"/>
      <c r="AT11" s="44"/>
      <c r="AU11" s="33"/>
      <c r="AV11" s="44"/>
      <c r="AW11" s="47">
        <f t="shared" si="0"/>
        <v>1420</v>
      </c>
    </row>
    <row r="12" spans="1:49" x14ac:dyDescent="0.2">
      <c r="A12" s="8">
        <f t="shared" si="1"/>
        <v>6</v>
      </c>
      <c r="B12" s="246" t="s">
        <v>41</v>
      </c>
      <c r="C12" s="13">
        <v>1</v>
      </c>
      <c r="D12" s="13"/>
      <c r="E12" s="11"/>
      <c r="F12" s="34"/>
      <c r="G12" s="11"/>
      <c r="H12" s="34"/>
      <c r="I12" s="11"/>
      <c r="J12" s="34"/>
      <c r="K12" s="29"/>
      <c r="L12" s="35"/>
      <c r="M12" s="12"/>
      <c r="N12" s="35"/>
      <c r="O12" s="11"/>
      <c r="P12" s="247"/>
      <c r="Q12" s="248"/>
      <c r="R12" s="247"/>
      <c r="S12" s="248"/>
      <c r="T12" s="248"/>
      <c r="U12" s="248"/>
      <c r="V12" s="248"/>
      <c r="W12" s="249"/>
      <c r="X12" s="248"/>
      <c r="Y12" s="249"/>
      <c r="Z12" s="248"/>
      <c r="AA12" s="249"/>
      <c r="AB12" s="248"/>
      <c r="AC12" s="11"/>
      <c r="AD12" s="33"/>
      <c r="AE12" s="12"/>
      <c r="AF12" s="33"/>
      <c r="AG12" s="33"/>
      <c r="AH12" s="33"/>
      <c r="AI12" s="12"/>
      <c r="AJ12" s="33"/>
      <c r="AK12" s="12"/>
      <c r="AL12" s="33"/>
      <c r="AM12" s="12"/>
      <c r="AN12" s="33"/>
      <c r="AO12" s="12"/>
      <c r="AP12" s="33"/>
      <c r="AQ12" s="33"/>
      <c r="AR12" s="33"/>
      <c r="AS12" s="33"/>
      <c r="AT12" s="44"/>
      <c r="AU12" s="33"/>
      <c r="AV12" s="44"/>
      <c r="AW12" s="47">
        <f t="shared" si="0"/>
        <v>0</v>
      </c>
    </row>
    <row r="13" spans="1:49" x14ac:dyDescent="0.2">
      <c r="A13" s="8">
        <f t="shared" si="1"/>
        <v>7</v>
      </c>
      <c r="B13" s="246" t="s">
        <v>42</v>
      </c>
      <c r="C13" s="13">
        <v>1</v>
      </c>
      <c r="D13" s="13"/>
      <c r="E13" s="23"/>
      <c r="F13" s="34"/>
      <c r="G13" s="23"/>
      <c r="H13" s="34"/>
      <c r="I13" s="11"/>
      <c r="J13" s="34"/>
      <c r="K13" s="29"/>
      <c r="L13" s="35"/>
      <c r="M13" s="11">
        <f>$M$6*C13</f>
        <v>20</v>
      </c>
      <c r="N13" s="35"/>
      <c r="O13" s="11">
        <f>$O$6*C13</f>
        <v>0</v>
      </c>
      <c r="P13" s="247"/>
      <c r="Q13" s="248">
        <f>$Q$6*C13</f>
        <v>50</v>
      </c>
      <c r="R13" s="247"/>
      <c r="S13" s="248"/>
      <c r="T13" s="248"/>
      <c r="U13" s="248"/>
      <c r="V13" s="248"/>
      <c r="W13" s="249">
        <f>$W$6*C13</f>
        <v>400</v>
      </c>
      <c r="X13" s="248"/>
      <c r="Y13" s="249">
        <f>C13*$Y$6</f>
        <v>2100</v>
      </c>
      <c r="Z13" s="248"/>
      <c r="AA13" s="249">
        <f>$AA$6*C13</f>
        <v>900</v>
      </c>
      <c r="AB13" s="248"/>
      <c r="AC13" s="11">
        <f>$AC$6*C13</f>
        <v>22</v>
      </c>
      <c r="AD13" s="33"/>
      <c r="AE13" s="12"/>
      <c r="AF13" s="33"/>
      <c r="AG13" s="33">
        <f>$AG$6*C13</f>
        <v>200</v>
      </c>
      <c r="AH13" s="33"/>
      <c r="AI13" s="12">
        <f>$AI$6*C13</f>
        <v>220</v>
      </c>
      <c r="AJ13" s="33"/>
      <c r="AK13" s="12">
        <f>$AK$6*C13</f>
        <v>75</v>
      </c>
      <c r="AL13" s="33"/>
      <c r="AM13" s="12"/>
      <c r="AN13" s="33"/>
      <c r="AO13" s="12"/>
      <c r="AP13" s="33"/>
      <c r="AQ13" s="33">
        <f>$AQ$6*C13</f>
        <v>425</v>
      </c>
      <c r="AR13" s="33"/>
      <c r="AS13" s="33">
        <f>$AS$6*C13</f>
        <v>100</v>
      </c>
      <c r="AT13" s="44"/>
      <c r="AU13" s="33">
        <v>10000</v>
      </c>
      <c r="AV13" s="44"/>
      <c r="AW13" s="47">
        <f t="shared" si="0"/>
        <v>4512</v>
      </c>
    </row>
    <row r="14" spans="1:49" ht="16" x14ac:dyDescent="0.2">
      <c r="A14" s="8">
        <f t="shared" si="1"/>
        <v>8</v>
      </c>
      <c r="B14" s="251" t="s">
        <v>43</v>
      </c>
      <c r="C14" s="250">
        <v>1</v>
      </c>
      <c r="D14" s="250"/>
      <c r="E14" s="23"/>
      <c r="F14" s="34"/>
      <c r="G14" s="23">
        <f>$G$6*C14</f>
        <v>292</v>
      </c>
      <c r="H14" s="34"/>
      <c r="I14" s="11"/>
      <c r="J14" s="34"/>
      <c r="K14" s="29">
        <f>$K$6*C14</f>
        <v>300</v>
      </c>
      <c r="L14" s="35"/>
      <c r="M14" s="11">
        <f>$M$6*C14</f>
        <v>20</v>
      </c>
      <c r="N14" s="35"/>
      <c r="O14" s="11"/>
      <c r="P14" s="247"/>
      <c r="Q14" s="248"/>
      <c r="R14" s="247"/>
      <c r="S14" s="248"/>
      <c r="T14" s="248"/>
      <c r="U14" s="248">
        <f>$U$6*C14</f>
        <v>20</v>
      </c>
      <c r="V14" s="248"/>
      <c r="W14" s="249">
        <f>C14*$W$6</f>
        <v>400</v>
      </c>
      <c r="X14" s="248"/>
      <c r="Y14" s="249"/>
      <c r="Z14" s="248"/>
      <c r="AA14" s="249"/>
      <c r="AB14" s="248"/>
      <c r="AC14" s="11"/>
      <c r="AD14" s="33"/>
      <c r="AE14" s="12">
        <f>50*C14</f>
        <v>50</v>
      </c>
      <c r="AF14" s="33"/>
      <c r="AG14" s="33">
        <f>$AG$6*C14</f>
        <v>200</v>
      </c>
      <c r="AH14" s="33"/>
      <c r="AI14" s="12"/>
      <c r="AJ14" s="33"/>
      <c r="AK14" s="12">
        <f>$AK$6*C14</f>
        <v>75</v>
      </c>
      <c r="AL14" s="33"/>
      <c r="AM14" s="12"/>
      <c r="AN14" s="33"/>
      <c r="AO14" s="12"/>
      <c r="AP14" s="33"/>
      <c r="AQ14" s="33"/>
      <c r="AR14" s="33"/>
      <c r="AS14" s="33">
        <f>$AS$6*C14</f>
        <v>100</v>
      </c>
      <c r="AT14" s="44"/>
      <c r="AU14" s="33"/>
      <c r="AV14" s="44"/>
      <c r="AW14" s="47">
        <f t="shared" si="0"/>
        <v>1457</v>
      </c>
    </row>
    <row r="15" spans="1:49" ht="16" x14ac:dyDescent="0.2">
      <c r="A15" s="8">
        <f t="shared" si="1"/>
        <v>9</v>
      </c>
      <c r="B15" s="251" t="s">
        <v>44</v>
      </c>
      <c r="C15" s="250">
        <v>1</v>
      </c>
      <c r="D15" s="250"/>
      <c r="E15" s="23">
        <f>$E$6*C15</f>
        <v>395</v>
      </c>
      <c r="F15" s="34"/>
      <c r="G15" s="11"/>
      <c r="H15" s="34"/>
      <c r="I15" s="11">
        <f>$I$6*C15</f>
        <v>350</v>
      </c>
      <c r="J15" s="34"/>
      <c r="K15" s="29"/>
      <c r="L15" s="35"/>
      <c r="M15" s="12"/>
      <c r="N15" s="35"/>
      <c r="O15" s="11">
        <f>$O$6*C15</f>
        <v>0</v>
      </c>
      <c r="P15" s="247"/>
      <c r="Q15" s="248">
        <f>$Q$6*C15</f>
        <v>50</v>
      </c>
      <c r="R15" s="247"/>
      <c r="S15" s="248"/>
      <c r="T15" s="248"/>
      <c r="U15" s="248"/>
      <c r="V15" s="248"/>
      <c r="W15" s="249"/>
      <c r="X15" s="248"/>
      <c r="Y15" s="249"/>
      <c r="Z15" s="248"/>
      <c r="AA15" s="249"/>
      <c r="AB15" s="248"/>
      <c r="AC15" s="11">
        <f>$AC$6*C15</f>
        <v>22</v>
      </c>
      <c r="AD15" s="33"/>
      <c r="AE15" s="12">
        <f>($AE$6*C15)-50</f>
        <v>570</v>
      </c>
      <c r="AF15" s="33"/>
      <c r="AG15" s="33"/>
      <c r="AH15" s="33"/>
      <c r="AI15" s="12">
        <f>$AI$6*C15</f>
        <v>220</v>
      </c>
      <c r="AJ15" s="33"/>
      <c r="AK15" s="12"/>
      <c r="AL15" s="33"/>
      <c r="AM15" s="12"/>
      <c r="AN15" s="33"/>
      <c r="AO15" s="12"/>
      <c r="AP15" s="33"/>
      <c r="AQ15" s="33"/>
      <c r="AR15" s="33"/>
      <c r="AS15" s="33"/>
      <c r="AT15" s="44"/>
      <c r="AU15" s="33"/>
      <c r="AV15" s="44"/>
      <c r="AW15" s="47">
        <f t="shared" si="0"/>
        <v>1607</v>
      </c>
    </row>
    <row r="16" spans="1:49" ht="16" x14ac:dyDescent="0.2">
      <c r="A16" s="8">
        <v>10</v>
      </c>
      <c r="B16" s="251" t="s">
        <v>92</v>
      </c>
      <c r="C16" s="14">
        <v>2</v>
      </c>
      <c r="D16" s="14"/>
      <c r="E16" s="11">
        <f>E6*3</f>
        <v>1185</v>
      </c>
      <c r="F16" s="34"/>
      <c r="G16" s="23">
        <f>$G$6*C16</f>
        <v>584</v>
      </c>
      <c r="H16" s="34"/>
      <c r="I16" s="11">
        <f>$I$6*C16</f>
        <v>700</v>
      </c>
      <c r="J16" s="34"/>
      <c r="K16" s="29">
        <f>$K$6*C16</f>
        <v>600</v>
      </c>
      <c r="L16" s="35"/>
      <c r="M16" s="11">
        <f>$M$6*C16</f>
        <v>40</v>
      </c>
      <c r="N16" s="35"/>
      <c r="O16" s="11">
        <f>$O$6*C16</f>
        <v>0</v>
      </c>
      <c r="P16" s="247"/>
      <c r="Q16" s="248">
        <f>$Q$6*C16</f>
        <v>100</v>
      </c>
      <c r="R16" s="247"/>
      <c r="S16" s="248">
        <f>$S$6*C16</f>
        <v>300</v>
      </c>
      <c r="T16" s="248"/>
      <c r="U16" s="248">
        <f>$U$6*C16</f>
        <v>40</v>
      </c>
      <c r="V16" s="248"/>
      <c r="W16" s="249">
        <f>$W$6*C16</f>
        <v>800</v>
      </c>
      <c r="X16" s="248"/>
      <c r="Y16" s="249">
        <f>C16*$Y$6</f>
        <v>4200</v>
      </c>
      <c r="Z16" s="248"/>
      <c r="AA16" s="249">
        <f>$AA$6*C16</f>
        <v>1800</v>
      </c>
      <c r="AB16" s="248"/>
      <c r="AC16" s="11">
        <f>$AC$6*C16</f>
        <v>44</v>
      </c>
      <c r="AD16" s="33"/>
      <c r="AE16" s="12">
        <f>$AE$6*C16</f>
        <v>1240</v>
      </c>
      <c r="AF16" s="33"/>
      <c r="AG16" s="33">
        <f>$AG$6*C16</f>
        <v>400</v>
      </c>
      <c r="AH16" s="33"/>
      <c r="AI16" s="12">
        <f>$AI$6*C16</f>
        <v>440</v>
      </c>
      <c r="AJ16" s="33"/>
      <c r="AK16" s="12">
        <f>$AK$6*C16</f>
        <v>150</v>
      </c>
      <c r="AL16" s="33"/>
      <c r="AM16" s="12"/>
      <c r="AN16" s="33"/>
      <c r="AO16" s="12"/>
      <c r="AP16" s="33"/>
      <c r="AQ16" s="33">
        <f>$AQ$6*C16</f>
        <v>850</v>
      </c>
      <c r="AR16" s="33"/>
      <c r="AS16" s="33">
        <f>$AS$6*C16</f>
        <v>200</v>
      </c>
      <c r="AT16" s="44"/>
      <c r="AU16" s="33">
        <v>5000</v>
      </c>
      <c r="AV16" s="44"/>
      <c r="AW16" s="47">
        <f t="shared" si="0"/>
        <v>13673</v>
      </c>
    </row>
    <row r="17" spans="1:49" ht="16" x14ac:dyDescent="0.2">
      <c r="A17" s="8">
        <f t="shared" si="1"/>
        <v>11</v>
      </c>
      <c r="B17" s="251" t="s">
        <v>45</v>
      </c>
      <c r="C17" s="14">
        <v>1</v>
      </c>
      <c r="D17" s="14"/>
      <c r="E17" s="9"/>
      <c r="F17" s="39"/>
      <c r="G17" s="9"/>
      <c r="H17" s="34"/>
      <c r="I17" s="11"/>
      <c r="J17" s="34"/>
      <c r="K17" s="29"/>
      <c r="L17" s="35"/>
      <c r="M17" s="12"/>
      <c r="N17" s="35"/>
      <c r="O17" s="11"/>
      <c r="P17" s="247"/>
      <c r="Q17" s="248"/>
      <c r="R17" s="247"/>
      <c r="S17" s="248">
        <f>150*C17</f>
        <v>150</v>
      </c>
      <c r="T17" s="248"/>
      <c r="U17" s="248">
        <f>$U$6*C17</f>
        <v>20</v>
      </c>
      <c r="V17" s="248"/>
      <c r="W17" s="249"/>
      <c r="X17" s="248"/>
      <c r="Y17" s="249"/>
      <c r="Z17" s="248"/>
      <c r="AA17" s="249"/>
      <c r="AB17" s="248"/>
      <c r="AC17" s="11"/>
      <c r="AD17" s="33"/>
      <c r="AE17" s="12"/>
      <c r="AF17" s="33"/>
      <c r="AG17" s="33"/>
      <c r="AH17" s="33"/>
      <c r="AI17" s="12"/>
      <c r="AJ17" s="33"/>
      <c r="AK17" s="12"/>
      <c r="AL17" s="33"/>
      <c r="AM17" s="12">
        <f>$AM$6*C17</f>
        <v>394</v>
      </c>
      <c r="AN17" s="33"/>
      <c r="AO17" s="12"/>
      <c r="AP17" s="33"/>
      <c r="AQ17" s="33"/>
      <c r="AR17" s="33"/>
      <c r="AS17" s="33"/>
      <c r="AT17" s="44"/>
      <c r="AU17" s="33"/>
      <c r="AV17" s="44"/>
      <c r="AW17" s="47">
        <f t="shared" si="0"/>
        <v>564</v>
      </c>
    </row>
    <row r="18" spans="1:49" ht="16" x14ac:dyDescent="0.2">
      <c r="A18" s="8">
        <f t="shared" si="1"/>
        <v>12</v>
      </c>
      <c r="B18" s="251" t="s">
        <v>46</v>
      </c>
      <c r="C18" s="14">
        <v>1</v>
      </c>
      <c r="D18" s="14"/>
      <c r="E18" s="9"/>
      <c r="F18" s="39"/>
      <c r="G18" s="9"/>
      <c r="H18" s="34"/>
      <c r="I18" s="11"/>
      <c r="J18" s="34"/>
      <c r="K18" s="29"/>
      <c r="L18" s="35"/>
      <c r="M18" s="12"/>
      <c r="N18" s="35"/>
      <c r="O18" s="11"/>
      <c r="P18" s="247"/>
      <c r="Q18" s="248"/>
      <c r="R18" s="247"/>
      <c r="S18" s="248"/>
      <c r="T18" s="248"/>
      <c r="U18" s="248"/>
      <c r="V18" s="248"/>
      <c r="W18" s="249"/>
      <c r="X18" s="248"/>
      <c r="Y18" s="249"/>
      <c r="Z18" s="248"/>
      <c r="AA18" s="249"/>
      <c r="AB18" s="248"/>
      <c r="AC18" s="11"/>
      <c r="AD18" s="33"/>
      <c r="AE18" s="12"/>
      <c r="AF18" s="33"/>
      <c r="AG18" s="33"/>
      <c r="AH18" s="33"/>
      <c r="AI18" s="12"/>
      <c r="AJ18" s="33"/>
      <c r="AK18" s="12"/>
      <c r="AL18" s="33"/>
      <c r="AM18" s="12">
        <f>$AM$6*C18</f>
        <v>394</v>
      </c>
      <c r="AN18" s="13"/>
      <c r="AO18" s="12"/>
      <c r="AP18" s="33"/>
      <c r="AQ18" s="33"/>
      <c r="AR18" s="33"/>
      <c r="AS18" s="33"/>
      <c r="AT18" s="44"/>
      <c r="AU18" s="33"/>
      <c r="AV18" s="44"/>
      <c r="AW18" s="47">
        <f t="shared" si="0"/>
        <v>394</v>
      </c>
    </row>
    <row r="19" spans="1:49" ht="16" x14ac:dyDescent="0.2">
      <c r="A19" s="8">
        <f t="shared" si="1"/>
        <v>13</v>
      </c>
      <c r="B19" s="251" t="s">
        <v>47</v>
      </c>
      <c r="C19" s="14">
        <v>1</v>
      </c>
      <c r="D19" s="14"/>
      <c r="E19" s="11">
        <f>E6</f>
        <v>395</v>
      </c>
      <c r="F19" s="34"/>
      <c r="G19" s="23">
        <f>$G$6*C19</f>
        <v>292</v>
      </c>
      <c r="H19" s="34"/>
      <c r="I19" s="11">
        <f>$I$6*C19</f>
        <v>350</v>
      </c>
      <c r="J19" s="34"/>
      <c r="K19" s="29">
        <f>$K$6*C19</f>
        <v>300</v>
      </c>
      <c r="L19" s="35"/>
      <c r="M19" s="11">
        <f>$M$6*C19</f>
        <v>20</v>
      </c>
      <c r="N19" s="35"/>
      <c r="O19" s="11">
        <f>$O$6*C19</f>
        <v>0</v>
      </c>
      <c r="P19" s="247"/>
      <c r="Q19" s="248">
        <f>$Q$6*C19</f>
        <v>50</v>
      </c>
      <c r="R19" s="247"/>
      <c r="S19" s="248">
        <f>150*C19</f>
        <v>150</v>
      </c>
      <c r="T19" s="248"/>
      <c r="U19" s="248">
        <f>$U$6*C19</f>
        <v>20</v>
      </c>
      <c r="V19" s="248"/>
      <c r="W19" s="249">
        <f>$W$6*C19</f>
        <v>400</v>
      </c>
      <c r="X19" s="248"/>
      <c r="Y19" s="249"/>
      <c r="Z19" s="248"/>
      <c r="AA19" s="249"/>
      <c r="AB19" s="248"/>
      <c r="AC19" s="11">
        <f>$AC$6*C19</f>
        <v>22</v>
      </c>
      <c r="AD19" s="33"/>
      <c r="AE19" s="12">
        <f>$AE$6*C19</f>
        <v>620</v>
      </c>
      <c r="AF19" s="33"/>
      <c r="AG19" s="33">
        <f>$AG$6*C19</f>
        <v>200</v>
      </c>
      <c r="AH19" s="33"/>
      <c r="AI19" s="12">
        <f>$AI$6*C19</f>
        <v>220</v>
      </c>
      <c r="AJ19" s="33"/>
      <c r="AK19" s="12">
        <f>$AK$6*C19</f>
        <v>75</v>
      </c>
      <c r="AL19" s="33"/>
      <c r="AM19" s="12"/>
      <c r="AN19" s="33"/>
      <c r="AO19" s="12"/>
      <c r="AP19" s="33"/>
      <c r="AQ19" s="33"/>
      <c r="AR19" s="33"/>
      <c r="AS19" s="33">
        <f>$AS$6*C19</f>
        <v>100</v>
      </c>
      <c r="AT19" s="44"/>
      <c r="AU19" s="33">
        <f>$AS$6*E19</f>
        <v>39500</v>
      </c>
      <c r="AV19" s="44"/>
      <c r="AW19" s="47">
        <f t="shared" si="0"/>
        <v>3214</v>
      </c>
    </row>
    <row r="20" spans="1:49" x14ac:dyDescent="0.2">
      <c r="A20" s="8">
        <f t="shared" si="1"/>
        <v>14</v>
      </c>
      <c r="B20" s="15" t="s">
        <v>48</v>
      </c>
      <c r="C20" s="250">
        <v>1</v>
      </c>
      <c r="D20" s="250"/>
      <c r="E20" s="9">
        <f>E6</f>
        <v>395</v>
      </c>
      <c r="F20" s="39"/>
      <c r="G20" s="23">
        <f>$G$6*C20</f>
        <v>292</v>
      </c>
      <c r="H20" s="34"/>
      <c r="I20" s="11">
        <f>C20*$I$6</f>
        <v>350</v>
      </c>
      <c r="J20" s="34"/>
      <c r="K20" s="29">
        <f>$K$6*C20</f>
        <v>300</v>
      </c>
      <c r="L20" s="35"/>
      <c r="M20" s="12">
        <f>C20*$M$6</f>
        <v>20</v>
      </c>
      <c r="N20" s="34"/>
      <c r="O20" s="11">
        <f>$O$6*C20</f>
        <v>0</v>
      </c>
      <c r="P20" s="34"/>
      <c r="Q20" s="248">
        <f>$Q$6*C20</f>
        <v>50</v>
      </c>
      <c r="R20" s="34"/>
      <c r="S20" s="248"/>
      <c r="T20" s="33"/>
      <c r="U20" s="248">
        <f>$U$6*C20</f>
        <v>20</v>
      </c>
      <c r="V20" s="33"/>
      <c r="W20" s="249">
        <f>C20*$W$6</f>
        <v>400</v>
      </c>
      <c r="X20" s="248"/>
      <c r="Y20" s="249">
        <v>2100</v>
      </c>
      <c r="Z20" s="248"/>
      <c r="AA20" s="249">
        <f>$AA$6*C20</f>
        <v>900</v>
      </c>
      <c r="AB20" s="248"/>
      <c r="AC20" s="11">
        <f>$AC$6*C20</f>
        <v>22</v>
      </c>
      <c r="AD20" s="33"/>
      <c r="AE20" s="12"/>
      <c r="AF20" s="33"/>
      <c r="AG20" s="33">
        <f>$AG$6*C20</f>
        <v>200</v>
      </c>
      <c r="AH20" s="33"/>
      <c r="AI20" s="12">
        <f>$AI$6*C20</f>
        <v>220</v>
      </c>
      <c r="AJ20" s="33"/>
      <c r="AK20" s="12">
        <f>$AK$6*C20</f>
        <v>75</v>
      </c>
      <c r="AL20" s="33"/>
      <c r="AM20" s="12"/>
      <c r="AN20" s="33"/>
      <c r="AO20" s="12"/>
      <c r="AP20" s="33"/>
      <c r="AQ20" s="33">
        <f>$AQ$6*C20</f>
        <v>425</v>
      </c>
      <c r="AR20" s="33"/>
      <c r="AS20" s="33"/>
      <c r="AT20" s="44"/>
      <c r="AU20" s="33"/>
      <c r="AV20" s="44"/>
      <c r="AW20" s="47">
        <f t="shared" si="0"/>
        <v>5769</v>
      </c>
    </row>
    <row r="21" spans="1:49" x14ac:dyDescent="0.2">
      <c r="A21" s="8">
        <f t="shared" si="1"/>
        <v>15</v>
      </c>
      <c r="B21" s="15" t="s">
        <v>49</v>
      </c>
      <c r="C21" s="250">
        <v>1</v>
      </c>
      <c r="D21" s="250"/>
      <c r="E21" s="9"/>
      <c r="F21" s="39"/>
      <c r="G21" s="9"/>
      <c r="H21" s="34"/>
      <c r="I21" s="11"/>
      <c r="J21" s="34"/>
      <c r="K21" s="29"/>
      <c r="L21" s="35"/>
      <c r="M21" s="12"/>
      <c r="N21" s="34"/>
      <c r="O21" s="11"/>
      <c r="P21" s="34"/>
      <c r="Q21" s="33"/>
      <c r="R21" s="34"/>
      <c r="S21" s="33"/>
      <c r="T21" s="33"/>
      <c r="U21" s="33"/>
      <c r="V21" s="33"/>
      <c r="W21" s="249"/>
      <c r="X21" s="248"/>
      <c r="Y21" s="249"/>
      <c r="Z21" s="248"/>
      <c r="AA21" s="249"/>
      <c r="AB21" s="248"/>
      <c r="AC21" s="11"/>
      <c r="AD21" s="33"/>
      <c r="AE21" s="12"/>
      <c r="AF21" s="33"/>
      <c r="AG21" s="33"/>
      <c r="AH21" s="33"/>
      <c r="AI21" s="12"/>
      <c r="AJ21" s="33"/>
      <c r="AK21" s="12"/>
      <c r="AL21" s="33"/>
      <c r="AM21" s="12"/>
      <c r="AN21" s="33"/>
      <c r="AO21" s="12"/>
      <c r="AP21" s="33"/>
      <c r="AQ21" s="33"/>
      <c r="AR21" s="33"/>
      <c r="AS21" s="33">
        <f>$AS$6*C21</f>
        <v>100</v>
      </c>
      <c r="AT21" s="44"/>
      <c r="AU21" s="33">
        <f>$AS$6*E21</f>
        <v>0</v>
      </c>
      <c r="AV21" s="44"/>
      <c r="AW21" s="47">
        <f t="shared" si="0"/>
        <v>100</v>
      </c>
    </row>
    <row r="22" spans="1:49" x14ac:dyDescent="0.2">
      <c r="A22" s="8">
        <f t="shared" si="1"/>
        <v>16</v>
      </c>
      <c r="B22" s="15" t="s">
        <v>50</v>
      </c>
      <c r="C22" s="250">
        <v>1</v>
      </c>
      <c r="D22" s="250"/>
      <c r="E22" s="9"/>
      <c r="F22" s="39"/>
      <c r="G22" s="9"/>
      <c r="H22" s="34"/>
      <c r="I22" s="11"/>
      <c r="J22" s="34"/>
      <c r="K22" s="29"/>
      <c r="L22" s="35"/>
      <c r="M22" s="12"/>
      <c r="N22" s="35"/>
      <c r="O22" s="11"/>
      <c r="P22" s="247"/>
      <c r="Q22" s="248"/>
      <c r="R22" s="247"/>
      <c r="S22" s="248"/>
      <c r="T22" s="248"/>
      <c r="U22" s="248"/>
      <c r="V22" s="248"/>
      <c r="W22" s="249"/>
      <c r="X22" s="248"/>
      <c r="Y22" s="249"/>
      <c r="Z22" s="248"/>
      <c r="AA22" s="249"/>
      <c r="AB22" s="248"/>
      <c r="AC22" s="11"/>
      <c r="AD22" s="33"/>
      <c r="AE22" s="12">
        <f>$AE$6*C22</f>
        <v>620</v>
      </c>
      <c r="AF22" s="33"/>
      <c r="AG22" s="33"/>
      <c r="AH22" s="33"/>
      <c r="AI22" s="12"/>
      <c r="AJ22" s="33"/>
      <c r="AK22" s="12"/>
      <c r="AL22" s="33"/>
      <c r="AM22" s="12"/>
      <c r="AN22" s="33"/>
      <c r="AO22" s="12">
        <v>31</v>
      </c>
      <c r="AP22" s="33"/>
      <c r="AQ22" s="33"/>
      <c r="AR22" s="33"/>
      <c r="AS22" s="33"/>
      <c r="AT22" s="44"/>
      <c r="AU22" s="33"/>
      <c r="AV22" s="44"/>
      <c r="AW22" s="47">
        <f t="shared" si="0"/>
        <v>651</v>
      </c>
    </row>
    <row r="23" spans="1:49" x14ac:dyDescent="0.2">
      <c r="A23" s="8">
        <f t="shared" si="1"/>
        <v>17</v>
      </c>
      <c r="B23" s="15" t="s">
        <v>51</v>
      </c>
      <c r="C23" s="250">
        <v>1</v>
      </c>
      <c r="D23" s="250"/>
      <c r="E23" s="9"/>
      <c r="F23" s="39"/>
      <c r="G23" s="9"/>
      <c r="H23" s="34"/>
      <c r="I23" s="11"/>
      <c r="J23" s="34"/>
      <c r="K23" s="29"/>
      <c r="L23" s="35"/>
      <c r="M23" s="12"/>
      <c r="N23" s="35"/>
      <c r="O23" s="11"/>
      <c r="P23" s="247"/>
      <c r="Q23" s="248"/>
      <c r="R23" s="247"/>
      <c r="S23" s="248"/>
      <c r="T23" s="248"/>
      <c r="U23" s="248"/>
      <c r="V23" s="248"/>
      <c r="W23" s="249"/>
      <c r="X23" s="248"/>
      <c r="Y23" s="249"/>
      <c r="Z23" s="248"/>
      <c r="AA23" s="249"/>
      <c r="AB23" s="248"/>
      <c r="AC23" s="11"/>
      <c r="AD23" s="33"/>
      <c r="AE23" s="12"/>
      <c r="AF23" s="33"/>
      <c r="AG23" s="33"/>
      <c r="AH23" s="33"/>
      <c r="AI23" s="12"/>
      <c r="AJ23" s="33"/>
      <c r="AK23" s="12"/>
      <c r="AL23" s="33"/>
      <c r="AM23" s="12"/>
      <c r="AN23" s="33"/>
      <c r="AO23" s="12">
        <v>32</v>
      </c>
      <c r="AP23" s="33"/>
      <c r="AQ23" s="33"/>
      <c r="AR23" s="33"/>
      <c r="AS23" s="33"/>
      <c r="AT23" s="44"/>
      <c r="AU23" s="33"/>
      <c r="AV23" s="44"/>
      <c r="AW23" s="47">
        <f t="shared" si="0"/>
        <v>32</v>
      </c>
    </row>
    <row r="24" spans="1:49" x14ac:dyDescent="0.2">
      <c r="A24" s="8">
        <f t="shared" si="1"/>
        <v>18</v>
      </c>
      <c r="B24" s="16" t="s">
        <v>52</v>
      </c>
      <c r="C24" s="13">
        <v>1</v>
      </c>
      <c r="D24" s="13"/>
      <c r="E24" s="9">
        <f>C24*$E$6</f>
        <v>395</v>
      </c>
      <c r="F24" s="39"/>
      <c r="G24" s="23">
        <f>$G$6*C24</f>
        <v>292</v>
      </c>
      <c r="H24" s="34"/>
      <c r="I24" s="11">
        <f>C24*$I$6</f>
        <v>350</v>
      </c>
      <c r="J24" s="34"/>
      <c r="K24" s="29">
        <f>$K$6*C24</f>
        <v>300</v>
      </c>
      <c r="L24" s="35"/>
      <c r="M24" s="12">
        <f>C24*$M$6</f>
        <v>20</v>
      </c>
      <c r="N24" s="34"/>
      <c r="O24" s="11">
        <f>$O$6*C24</f>
        <v>0</v>
      </c>
      <c r="P24" s="34"/>
      <c r="Q24" s="248">
        <f>$Q$6*C24</f>
        <v>50</v>
      </c>
      <c r="R24" s="34"/>
      <c r="S24" s="248"/>
      <c r="T24" s="33"/>
      <c r="U24" s="248">
        <f>$U$6*C24</f>
        <v>20</v>
      </c>
      <c r="V24" s="33"/>
      <c r="W24" s="249">
        <f>C24*$W$6</f>
        <v>400</v>
      </c>
      <c r="X24" s="248"/>
      <c r="Y24" s="249">
        <v>2100</v>
      </c>
      <c r="Z24" s="248"/>
      <c r="AA24" s="249">
        <f>$AA$6*C24</f>
        <v>900</v>
      </c>
      <c r="AB24" s="248"/>
      <c r="AC24" s="11">
        <f>$AC$6*C24</f>
        <v>22</v>
      </c>
      <c r="AD24" s="33"/>
      <c r="AE24" s="12">
        <f>$AE$6*C24</f>
        <v>620</v>
      </c>
      <c r="AF24" s="33"/>
      <c r="AG24" s="33">
        <f>$AG$6*C24</f>
        <v>200</v>
      </c>
      <c r="AH24" s="33"/>
      <c r="AI24" s="12">
        <f>$AI$6*C24</f>
        <v>220</v>
      </c>
      <c r="AJ24" s="33"/>
      <c r="AK24" s="12">
        <f>$AK$6*C24</f>
        <v>75</v>
      </c>
      <c r="AL24" s="33"/>
      <c r="AM24" s="12"/>
      <c r="AN24" s="33"/>
      <c r="AO24" s="12"/>
      <c r="AP24" s="33"/>
      <c r="AQ24" s="33">
        <f>$AQ$6*C24</f>
        <v>425</v>
      </c>
      <c r="AR24" s="33"/>
      <c r="AS24" s="33">
        <f>$AS$6*C24</f>
        <v>100</v>
      </c>
      <c r="AT24" s="44"/>
      <c r="AU24" s="33">
        <f>$AS$6*E24</f>
        <v>39500</v>
      </c>
      <c r="AV24" s="44"/>
      <c r="AW24" s="47">
        <f t="shared" si="0"/>
        <v>6489</v>
      </c>
    </row>
    <row r="25" spans="1:49" x14ac:dyDescent="0.2">
      <c r="A25" s="8">
        <f t="shared" si="1"/>
        <v>19</v>
      </c>
      <c r="B25" s="15" t="s">
        <v>93</v>
      </c>
      <c r="C25" s="13">
        <v>4</v>
      </c>
      <c r="D25" s="13"/>
      <c r="E25" s="9">
        <f>C25*$E$6</f>
        <v>1580</v>
      </c>
      <c r="F25" s="39"/>
      <c r="G25" s="23">
        <f>$G$6*C25</f>
        <v>1168</v>
      </c>
      <c r="H25" s="34"/>
      <c r="I25" s="17"/>
      <c r="J25" s="34"/>
      <c r="K25" s="30"/>
      <c r="L25" s="35"/>
      <c r="M25" s="33"/>
      <c r="N25" s="35"/>
      <c r="O25" s="17"/>
      <c r="P25" s="247"/>
      <c r="Q25" s="248"/>
      <c r="R25" s="247"/>
      <c r="S25" s="248"/>
      <c r="T25" s="248"/>
      <c r="U25" s="248"/>
      <c r="V25" s="248"/>
      <c r="W25" s="249"/>
      <c r="X25" s="248"/>
      <c r="Y25" s="249"/>
      <c r="Z25" s="248"/>
      <c r="AA25" s="249"/>
      <c r="AB25" s="248"/>
      <c r="AC25" s="11"/>
      <c r="AD25" s="33"/>
      <c r="AE25" s="33">
        <f>3*50</f>
        <v>150</v>
      </c>
      <c r="AF25" s="33"/>
      <c r="AG25" s="33"/>
      <c r="AH25" s="33"/>
      <c r="AI25" s="12"/>
      <c r="AJ25" s="33"/>
      <c r="AK25" s="12"/>
      <c r="AL25" s="33"/>
      <c r="AM25" s="12"/>
      <c r="AN25" s="33"/>
      <c r="AO25" s="12"/>
      <c r="AP25" s="33"/>
      <c r="AQ25" s="33"/>
      <c r="AR25" s="33"/>
      <c r="AS25" s="33"/>
      <c r="AT25" s="44"/>
      <c r="AU25" s="33"/>
      <c r="AV25" s="44"/>
      <c r="AW25" s="47">
        <f t="shared" si="0"/>
        <v>2898</v>
      </c>
    </row>
    <row r="26" spans="1:49" x14ac:dyDescent="0.2">
      <c r="A26" s="8">
        <f t="shared" si="1"/>
        <v>20</v>
      </c>
      <c r="B26" s="15" t="s">
        <v>53</v>
      </c>
      <c r="C26" s="13">
        <v>4</v>
      </c>
      <c r="D26" s="13"/>
      <c r="E26" s="9">
        <v>0</v>
      </c>
      <c r="F26" s="39"/>
      <c r="G26" s="9"/>
      <c r="H26" s="34"/>
      <c r="I26" s="11">
        <f>C26*$I$6</f>
        <v>1400</v>
      </c>
      <c r="J26" s="34"/>
      <c r="K26" s="29">
        <f>$K$6*C26</f>
        <v>1200</v>
      </c>
      <c r="L26" s="35"/>
      <c r="M26" s="12"/>
      <c r="N26" s="35"/>
      <c r="O26" s="11"/>
      <c r="P26" s="247"/>
      <c r="Q26" s="248"/>
      <c r="R26" s="247"/>
      <c r="S26" s="248"/>
      <c r="T26" s="248"/>
      <c r="U26" s="248"/>
      <c r="V26" s="248"/>
      <c r="W26" s="249"/>
      <c r="X26" s="248"/>
      <c r="Y26" s="249"/>
      <c r="Z26" s="248"/>
      <c r="AA26" s="249"/>
      <c r="AB26" s="248"/>
      <c r="AC26" s="11"/>
      <c r="AD26" s="33"/>
      <c r="AE26" s="33"/>
      <c r="AF26" s="33"/>
      <c r="AG26" s="33"/>
      <c r="AH26" s="33"/>
      <c r="AI26" s="12"/>
      <c r="AJ26" s="33"/>
      <c r="AK26" s="12"/>
      <c r="AL26" s="33"/>
      <c r="AM26" s="12"/>
      <c r="AN26" s="33"/>
      <c r="AO26" s="12"/>
      <c r="AP26" s="33"/>
      <c r="AQ26" s="33"/>
      <c r="AR26" s="33"/>
      <c r="AS26" s="33"/>
      <c r="AT26" s="44"/>
      <c r="AU26" s="33"/>
      <c r="AV26" s="44"/>
      <c r="AW26" s="47">
        <f t="shared" si="0"/>
        <v>2600</v>
      </c>
    </row>
    <row r="27" spans="1:49" x14ac:dyDescent="0.2">
      <c r="A27" s="8">
        <f t="shared" si="1"/>
        <v>21</v>
      </c>
      <c r="B27" s="15" t="s">
        <v>54</v>
      </c>
      <c r="C27" s="13">
        <v>4</v>
      </c>
      <c r="D27" s="13"/>
      <c r="E27" s="9">
        <v>0</v>
      </c>
      <c r="F27" s="39"/>
      <c r="G27" s="9"/>
      <c r="H27" s="34"/>
      <c r="I27" s="17"/>
      <c r="J27" s="34"/>
      <c r="K27" s="30"/>
      <c r="L27" s="35"/>
      <c r="M27" s="33"/>
      <c r="N27" s="35"/>
      <c r="O27" s="17"/>
      <c r="P27" s="247"/>
      <c r="Q27" s="248"/>
      <c r="R27" s="247"/>
      <c r="S27" s="248"/>
      <c r="T27" s="248"/>
      <c r="U27" s="248">
        <f>$U$6*C27</f>
        <v>80</v>
      </c>
      <c r="V27" s="248"/>
      <c r="W27" s="249"/>
      <c r="X27" s="248"/>
      <c r="Y27" s="249">
        <f>C27*$Y$6</f>
        <v>8400</v>
      </c>
      <c r="Z27" s="248"/>
      <c r="AA27" s="249">
        <f>$AA$6*C27</f>
        <v>3600</v>
      </c>
      <c r="AB27" s="248"/>
      <c r="AC27" s="11"/>
      <c r="AD27" s="33"/>
      <c r="AE27" s="33"/>
      <c r="AF27" s="33"/>
      <c r="AG27" s="33"/>
      <c r="AH27" s="33"/>
      <c r="AI27" s="12"/>
      <c r="AJ27" s="33"/>
      <c r="AK27" s="12"/>
      <c r="AL27" s="33"/>
      <c r="AM27" s="12"/>
      <c r="AN27" s="33"/>
      <c r="AO27" s="12"/>
      <c r="AP27" s="33"/>
      <c r="AQ27" s="33">
        <f>$AQ$6*C27</f>
        <v>1700</v>
      </c>
      <c r="AR27" s="33"/>
      <c r="AS27" s="33"/>
      <c r="AT27" s="44"/>
      <c r="AU27" s="33"/>
      <c r="AV27" s="44"/>
      <c r="AW27" s="47">
        <f t="shared" si="0"/>
        <v>13780</v>
      </c>
    </row>
    <row r="28" spans="1:49" x14ac:dyDescent="0.2">
      <c r="A28" s="8">
        <f t="shared" si="1"/>
        <v>22</v>
      </c>
      <c r="B28" s="15" t="s">
        <v>55</v>
      </c>
      <c r="C28" s="13">
        <v>4</v>
      </c>
      <c r="D28" s="13"/>
      <c r="E28" s="9">
        <v>0</v>
      </c>
      <c r="F28" s="39"/>
      <c r="G28" s="9"/>
      <c r="H28" s="34"/>
      <c r="I28" s="11"/>
      <c r="J28" s="34"/>
      <c r="K28" s="29"/>
      <c r="L28" s="35"/>
      <c r="M28" s="12">
        <f>C28*$M$6</f>
        <v>80</v>
      </c>
      <c r="N28" s="34"/>
      <c r="O28" s="11">
        <f>$O$6*C28</f>
        <v>0</v>
      </c>
      <c r="P28" s="247"/>
      <c r="Q28" s="248">
        <f>$Q$6*C28</f>
        <v>200</v>
      </c>
      <c r="R28" s="247"/>
      <c r="S28" s="248"/>
      <c r="T28" s="248"/>
      <c r="U28" s="248"/>
      <c r="V28" s="248"/>
      <c r="W28" s="249">
        <f>$W$6*C28</f>
        <v>1600</v>
      </c>
      <c r="X28" s="248"/>
      <c r="Y28" s="249"/>
      <c r="Z28" s="248"/>
      <c r="AA28" s="249"/>
      <c r="AB28" s="248"/>
      <c r="AC28" s="11">
        <f>$AC$6*C28</f>
        <v>88</v>
      </c>
      <c r="AD28" s="33"/>
      <c r="AE28" s="33"/>
      <c r="AF28" s="33"/>
      <c r="AG28" s="33"/>
      <c r="AH28" s="33"/>
      <c r="AI28" s="12">
        <f>$AI$6*C28</f>
        <v>880</v>
      </c>
      <c r="AJ28" s="33"/>
      <c r="AK28" s="12">
        <f>$AK$6*C28</f>
        <v>300</v>
      </c>
      <c r="AL28" s="33"/>
      <c r="AM28" s="12"/>
      <c r="AN28" s="33"/>
      <c r="AO28" s="12">
        <f>$AO$6*C28</f>
        <v>252</v>
      </c>
      <c r="AP28" s="33"/>
      <c r="AQ28" s="33"/>
      <c r="AR28" s="33"/>
      <c r="AS28" s="33"/>
      <c r="AT28" s="44"/>
      <c r="AU28" s="33"/>
      <c r="AV28" s="44"/>
      <c r="AW28" s="47">
        <f t="shared" si="0"/>
        <v>3400</v>
      </c>
    </row>
    <row r="29" spans="1:49" x14ac:dyDescent="0.2">
      <c r="A29" s="8">
        <f t="shared" si="1"/>
        <v>23</v>
      </c>
      <c r="B29" s="15" t="s">
        <v>56</v>
      </c>
      <c r="C29" s="13">
        <v>0</v>
      </c>
      <c r="D29" s="13"/>
      <c r="E29" s="9">
        <f>C29*$E$6</f>
        <v>0</v>
      </c>
      <c r="F29" s="39"/>
      <c r="G29" s="9"/>
      <c r="H29" s="34"/>
      <c r="I29" s="17"/>
      <c r="J29" s="34"/>
      <c r="K29" s="30"/>
      <c r="L29" s="35"/>
      <c r="M29" s="33"/>
      <c r="N29" s="35"/>
      <c r="O29" s="17"/>
      <c r="P29" s="247"/>
      <c r="Q29" s="248"/>
      <c r="R29" s="247"/>
      <c r="S29" s="248"/>
      <c r="T29" s="248"/>
      <c r="U29" s="248"/>
      <c r="V29" s="248"/>
      <c r="W29" s="249"/>
      <c r="X29" s="248"/>
      <c r="Y29" s="249"/>
      <c r="Z29" s="248"/>
      <c r="AA29" s="249"/>
      <c r="AB29" s="248"/>
      <c r="AC29" s="17"/>
      <c r="AD29" s="33"/>
      <c r="AE29" s="33"/>
      <c r="AF29" s="33"/>
      <c r="AG29" s="33"/>
      <c r="AH29" s="33"/>
      <c r="AI29" s="12">
        <f>$AI$6*C29</f>
        <v>0</v>
      </c>
      <c r="AJ29" s="33"/>
      <c r="AK29" s="12">
        <f>$AK$6*C29</f>
        <v>0</v>
      </c>
      <c r="AL29" s="33"/>
      <c r="AM29" s="12"/>
      <c r="AN29" s="33"/>
      <c r="AO29" s="12"/>
      <c r="AP29" s="33"/>
      <c r="AQ29" s="33"/>
      <c r="AR29" s="33"/>
      <c r="AS29" s="33"/>
      <c r="AT29" s="44"/>
      <c r="AU29" s="33"/>
      <c r="AV29" s="44"/>
      <c r="AW29" s="47">
        <f t="shared" si="0"/>
        <v>0</v>
      </c>
    </row>
    <row r="30" spans="1:49" x14ac:dyDescent="0.2">
      <c r="A30" s="8">
        <f t="shared" si="1"/>
        <v>24</v>
      </c>
      <c r="B30" s="15" t="s">
        <v>57</v>
      </c>
      <c r="C30" s="13">
        <v>3</v>
      </c>
      <c r="D30" s="13"/>
      <c r="E30" s="9"/>
      <c r="F30" s="39"/>
      <c r="G30" s="9"/>
      <c r="H30" s="34"/>
      <c r="I30" s="17"/>
      <c r="J30" s="34"/>
      <c r="K30" s="30"/>
      <c r="L30" s="35"/>
      <c r="M30" s="33"/>
      <c r="N30" s="35"/>
      <c r="O30" s="17"/>
      <c r="P30" s="247"/>
      <c r="Q30" s="248"/>
      <c r="R30" s="247"/>
      <c r="S30" s="248"/>
      <c r="T30" s="248"/>
      <c r="U30" s="248"/>
      <c r="V30" s="248"/>
      <c r="W30" s="249"/>
      <c r="X30" s="248"/>
      <c r="Y30" s="249"/>
      <c r="Z30" s="248"/>
      <c r="AA30" s="249"/>
      <c r="AB30" s="248"/>
      <c r="AC30" s="17"/>
      <c r="AD30" s="33"/>
      <c r="AE30" s="33"/>
      <c r="AF30" s="33"/>
      <c r="AG30" s="33"/>
      <c r="AH30" s="33"/>
      <c r="AI30" s="12"/>
      <c r="AJ30" s="33"/>
      <c r="AK30" s="12"/>
      <c r="AL30" s="33"/>
      <c r="AM30" s="12"/>
      <c r="AN30" s="33"/>
      <c r="AO30" s="12"/>
      <c r="AP30" s="33"/>
      <c r="AQ30" s="33"/>
      <c r="AR30" s="33"/>
      <c r="AS30" s="33">
        <f>$AS$6*C30</f>
        <v>300</v>
      </c>
      <c r="AT30" s="44"/>
      <c r="AU30" s="33">
        <f>$AS$6*E30</f>
        <v>0</v>
      </c>
      <c r="AV30" s="44"/>
      <c r="AW30" s="47">
        <f t="shared" si="0"/>
        <v>300</v>
      </c>
    </row>
    <row r="31" spans="1:49" x14ac:dyDescent="0.2">
      <c r="A31" s="8">
        <f t="shared" si="1"/>
        <v>25</v>
      </c>
      <c r="B31" s="15" t="s">
        <v>58</v>
      </c>
      <c r="C31" s="252">
        <v>1</v>
      </c>
      <c r="D31" s="252"/>
      <c r="E31" s="9">
        <f>C31*$E$6</f>
        <v>395</v>
      </c>
      <c r="F31" s="39"/>
      <c r="G31" s="23">
        <f>$G$6*C31</f>
        <v>292</v>
      </c>
      <c r="H31" s="34"/>
      <c r="I31" s="11">
        <f>C31*$I$6</f>
        <v>350</v>
      </c>
      <c r="J31" s="34"/>
      <c r="K31" s="29">
        <f>$K$6*C31</f>
        <v>300</v>
      </c>
      <c r="L31" s="35"/>
      <c r="M31" s="12">
        <f>C31*$M$6</f>
        <v>20</v>
      </c>
      <c r="N31" s="34"/>
      <c r="O31" s="11"/>
      <c r="P31" s="247"/>
      <c r="Q31" s="248">
        <f>$Q$6*C31</f>
        <v>50</v>
      </c>
      <c r="R31" s="247"/>
      <c r="S31" s="248"/>
      <c r="T31" s="248"/>
      <c r="U31" s="248">
        <f>$U$6*C31</f>
        <v>20</v>
      </c>
      <c r="V31" s="248"/>
      <c r="W31" s="249">
        <f>$W$6*C31</f>
        <v>400</v>
      </c>
      <c r="X31" s="248"/>
      <c r="Y31" s="249"/>
      <c r="Z31" s="248"/>
      <c r="AA31" s="249"/>
      <c r="AB31" s="248"/>
      <c r="AC31" s="11"/>
      <c r="AD31" s="33"/>
      <c r="AE31" s="12"/>
      <c r="AF31" s="33"/>
      <c r="AG31" s="33"/>
      <c r="AH31" s="33"/>
      <c r="AI31" s="12">
        <f>C31*$AI$6</f>
        <v>220</v>
      </c>
      <c r="AJ31" s="33"/>
      <c r="AK31" s="12">
        <f>C31*$AK$6</f>
        <v>75</v>
      </c>
      <c r="AL31" s="33"/>
      <c r="AM31" s="12"/>
      <c r="AN31" s="33"/>
      <c r="AO31" s="12"/>
      <c r="AP31" s="33"/>
      <c r="AQ31" s="33">
        <f>$AQ$6*C31</f>
        <v>425</v>
      </c>
      <c r="AR31" s="33"/>
      <c r="AS31" s="33">
        <f>$AS$6*C31</f>
        <v>100</v>
      </c>
      <c r="AT31" s="44"/>
      <c r="AU31" s="33">
        <f>$AS$6*E31</f>
        <v>39500</v>
      </c>
      <c r="AV31" s="44"/>
      <c r="AW31" s="47">
        <f t="shared" si="0"/>
        <v>2647</v>
      </c>
    </row>
    <row r="32" spans="1:49" x14ac:dyDescent="0.2">
      <c r="A32" s="8">
        <f t="shared" si="1"/>
        <v>26</v>
      </c>
      <c r="B32" s="15" t="s">
        <v>59</v>
      </c>
      <c r="C32" s="18">
        <v>1</v>
      </c>
      <c r="D32" s="18"/>
      <c r="E32" s="9"/>
      <c r="F32" s="39"/>
      <c r="G32" s="9"/>
      <c r="H32" s="34"/>
      <c r="I32" s="11">
        <f>C32*$I$6</f>
        <v>350</v>
      </c>
      <c r="J32" s="34"/>
      <c r="K32" s="29">
        <f>$K$6*C32</f>
        <v>300</v>
      </c>
      <c r="L32" s="35"/>
      <c r="M32" s="12"/>
      <c r="N32" s="35"/>
      <c r="O32" s="11"/>
      <c r="P32" s="247"/>
      <c r="Q32" s="248"/>
      <c r="R32" s="247"/>
      <c r="S32" s="248"/>
      <c r="T32" s="248"/>
      <c r="U32" s="248"/>
      <c r="V32" s="248"/>
      <c r="W32" s="249"/>
      <c r="X32" s="248"/>
      <c r="Y32" s="249"/>
      <c r="Z32" s="248"/>
      <c r="AA32" s="249"/>
      <c r="AB32" s="248"/>
      <c r="AC32" s="11"/>
      <c r="AD32" s="33"/>
      <c r="AE32" s="12"/>
      <c r="AF32" s="33"/>
      <c r="AG32" s="33"/>
      <c r="AH32" s="33"/>
      <c r="AI32" s="12"/>
      <c r="AJ32" s="33"/>
      <c r="AK32" s="12"/>
      <c r="AL32" s="33"/>
      <c r="AM32" s="12"/>
      <c r="AN32" s="33"/>
      <c r="AO32" s="12"/>
      <c r="AP32" s="33"/>
      <c r="AQ32" s="33"/>
      <c r="AR32" s="33"/>
      <c r="AS32" s="33"/>
      <c r="AT32" s="44"/>
      <c r="AU32" s="33"/>
      <c r="AV32" s="44"/>
      <c r="AW32" s="47">
        <f t="shared" si="0"/>
        <v>650</v>
      </c>
    </row>
    <row r="33" spans="1:49" x14ac:dyDescent="0.2">
      <c r="A33" s="8">
        <f t="shared" si="1"/>
        <v>27</v>
      </c>
      <c r="B33" s="15" t="s">
        <v>60</v>
      </c>
      <c r="C33" s="18">
        <v>1</v>
      </c>
      <c r="D33" s="18"/>
      <c r="E33" s="9">
        <f>C33*$E$6</f>
        <v>395</v>
      </c>
      <c r="F33" s="39"/>
      <c r="G33" s="23">
        <f>$G$6*C33</f>
        <v>292</v>
      </c>
      <c r="H33" s="34"/>
      <c r="I33" s="11"/>
      <c r="J33" s="34"/>
      <c r="K33" s="29"/>
      <c r="L33" s="35"/>
      <c r="M33" s="12"/>
      <c r="N33" s="35"/>
      <c r="O33" s="11"/>
      <c r="P33" s="247"/>
      <c r="Q33" s="248"/>
      <c r="R33" s="247"/>
      <c r="S33" s="248"/>
      <c r="T33" s="248"/>
      <c r="U33" s="248"/>
      <c r="V33" s="248"/>
      <c r="W33" s="249"/>
      <c r="X33" s="248"/>
      <c r="Y33" s="249"/>
      <c r="Z33" s="248"/>
      <c r="AA33" s="249"/>
      <c r="AB33" s="248"/>
      <c r="AC33" s="11"/>
      <c r="AD33" s="33"/>
      <c r="AE33" s="12"/>
      <c r="AF33" s="33"/>
      <c r="AG33" s="33"/>
      <c r="AH33" s="33"/>
      <c r="AI33" s="12"/>
      <c r="AJ33" s="33"/>
      <c r="AK33" s="12"/>
      <c r="AL33" s="33"/>
      <c r="AM33" s="12"/>
      <c r="AN33" s="33"/>
      <c r="AO33" s="12"/>
      <c r="AP33" s="33"/>
      <c r="AQ33" s="33"/>
      <c r="AR33" s="33"/>
      <c r="AS33" s="33"/>
      <c r="AT33" s="44"/>
      <c r="AU33" s="33"/>
      <c r="AV33" s="44"/>
      <c r="AW33" s="47">
        <f t="shared" si="0"/>
        <v>687</v>
      </c>
    </row>
    <row r="34" spans="1:49" x14ac:dyDescent="0.2">
      <c r="A34" s="8">
        <f t="shared" si="1"/>
        <v>28</v>
      </c>
      <c r="B34" s="15" t="s">
        <v>61</v>
      </c>
      <c r="C34" s="18">
        <v>1</v>
      </c>
      <c r="D34" s="18"/>
      <c r="E34" s="9"/>
      <c r="F34" s="39"/>
      <c r="G34" s="9"/>
      <c r="H34" s="34"/>
      <c r="I34" s="11">
        <f>C34*$I$6</f>
        <v>350</v>
      </c>
      <c r="J34" s="34"/>
      <c r="K34" s="29">
        <f>$K$6*C34</f>
        <v>300</v>
      </c>
      <c r="L34" s="35"/>
      <c r="M34" s="12"/>
      <c r="N34" s="35"/>
      <c r="O34" s="11"/>
      <c r="P34" s="247"/>
      <c r="Q34" s="248"/>
      <c r="R34" s="247"/>
      <c r="S34" s="248"/>
      <c r="T34" s="248"/>
      <c r="U34" s="248"/>
      <c r="V34" s="248"/>
      <c r="W34" s="249"/>
      <c r="X34" s="248"/>
      <c r="Y34" s="249"/>
      <c r="Z34" s="248"/>
      <c r="AA34" s="249"/>
      <c r="AB34" s="248"/>
      <c r="AC34" s="11"/>
      <c r="AD34" s="33"/>
      <c r="AE34" s="12"/>
      <c r="AF34" s="33"/>
      <c r="AG34" s="33"/>
      <c r="AH34" s="33"/>
      <c r="AI34" s="12"/>
      <c r="AJ34" s="33"/>
      <c r="AK34" s="12"/>
      <c r="AL34" s="33"/>
      <c r="AM34" s="12"/>
      <c r="AN34" s="33"/>
      <c r="AO34" s="12"/>
      <c r="AP34" s="33"/>
      <c r="AQ34" s="33"/>
      <c r="AR34" s="33"/>
      <c r="AS34" s="33"/>
      <c r="AT34" s="44"/>
      <c r="AU34" s="33"/>
      <c r="AV34" s="44"/>
      <c r="AW34" s="47">
        <f t="shared" si="0"/>
        <v>650</v>
      </c>
    </row>
    <row r="35" spans="1:49" x14ac:dyDescent="0.2">
      <c r="A35" s="8">
        <f t="shared" si="1"/>
        <v>29</v>
      </c>
      <c r="B35" s="15" t="s">
        <v>62</v>
      </c>
      <c r="C35" s="18">
        <v>1</v>
      </c>
      <c r="D35" s="18"/>
      <c r="E35" s="9">
        <f>C35*$E$6</f>
        <v>395</v>
      </c>
      <c r="F35" s="39"/>
      <c r="G35" s="23">
        <f>$G$6*C35</f>
        <v>292</v>
      </c>
      <c r="H35" s="34"/>
      <c r="I35" s="11"/>
      <c r="J35" s="34"/>
      <c r="K35" s="29"/>
      <c r="L35" s="35"/>
      <c r="M35" s="12"/>
      <c r="N35" s="35"/>
      <c r="O35" s="11"/>
      <c r="P35" s="247"/>
      <c r="Q35" s="248"/>
      <c r="R35" s="247"/>
      <c r="S35" s="248"/>
      <c r="T35" s="248"/>
      <c r="U35" s="248"/>
      <c r="V35" s="248"/>
      <c r="W35" s="249"/>
      <c r="X35" s="248"/>
      <c r="Y35" s="249"/>
      <c r="Z35" s="248"/>
      <c r="AA35" s="249"/>
      <c r="AB35" s="248"/>
      <c r="AC35" s="11"/>
      <c r="AD35" s="33"/>
      <c r="AE35" s="12"/>
      <c r="AF35" s="33"/>
      <c r="AG35" s="33"/>
      <c r="AH35" s="33"/>
      <c r="AI35" s="12"/>
      <c r="AJ35" s="33"/>
      <c r="AK35" s="12"/>
      <c r="AL35" s="33"/>
      <c r="AM35" s="12"/>
      <c r="AN35" s="33"/>
      <c r="AO35" s="12"/>
      <c r="AP35" s="33"/>
      <c r="AQ35" s="33"/>
      <c r="AR35" s="33"/>
      <c r="AS35" s="33"/>
      <c r="AT35" s="44"/>
      <c r="AU35" s="33"/>
      <c r="AV35" s="44"/>
      <c r="AW35" s="47">
        <f t="shared" si="0"/>
        <v>687</v>
      </c>
    </row>
    <row r="36" spans="1:49" x14ac:dyDescent="0.2">
      <c r="A36" s="8">
        <f t="shared" si="1"/>
        <v>30</v>
      </c>
      <c r="B36" s="246" t="s">
        <v>63</v>
      </c>
      <c r="C36" s="13">
        <v>1</v>
      </c>
      <c r="D36" s="13"/>
      <c r="E36" s="9">
        <f>C36*$E$6</f>
        <v>395</v>
      </c>
      <c r="F36" s="39"/>
      <c r="G36" s="23">
        <f>$G$6*C36</f>
        <v>292</v>
      </c>
      <c r="H36" s="34"/>
      <c r="I36" s="11">
        <f>C36*$I$6</f>
        <v>350</v>
      </c>
      <c r="J36" s="34"/>
      <c r="K36" s="29">
        <f>$K$6*C36</f>
        <v>300</v>
      </c>
      <c r="L36" s="35"/>
      <c r="M36" s="12"/>
      <c r="N36" s="35"/>
      <c r="O36" s="11">
        <f>C36*$O$6</f>
        <v>0</v>
      </c>
      <c r="P36" s="34"/>
      <c r="Q36" s="33"/>
      <c r="R36" s="34"/>
      <c r="S36" s="33"/>
      <c r="T36" s="33"/>
      <c r="U36" s="33"/>
      <c r="V36" s="33"/>
      <c r="W36" s="249"/>
      <c r="X36" s="248"/>
      <c r="Y36" s="249"/>
      <c r="Z36" s="248"/>
      <c r="AA36" s="249"/>
      <c r="AB36" s="248"/>
      <c r="AC36" s="11"/>
      <c r="AD36" s="33"/>
      <c r="AE36" s="12"/>
      <c r="AF36" s="33"/>
      <c r="AG36" s="33"/>
      <c r="AH36" s="33"/>
      <c r="AI36" s="12"/>
      <c r="AJ36" s="33"/>
      <c r="AK36" s="12"/>
      <c r="AL36" s="33"/>
      <c r="AM36" s="12"/>
      <c r="AN36" s="33"/>
      <c r="AO36" s="12"/>
      <c r="AP36" s="33"/>
      <c r="AQ36" s="33"/>
      <c r="AR36" s="33"/>
      <c r="AS36" s="33"/>
      <c r="AT36" s="44"/>
      <c r="AU36" s="33"/>
      <c r="AV36" s="44"/>
      <c r="AW36" s="47">
        <f t="shared" si="0"/>
        <v>1337</v>
      </c>
    </row>
    <row r="37" spans="1:49" s="50" customFormat="1" x14ac:dyDescent="0.2">
      <c r="A37" s="8">
        <f t="shared" si="1"/>
        <v>31</v>
      </c>
      <c r="B37" s="15" t="s">
        <v>64</v>
      </c>
      <c r="C37" s="253">
        <v>4</v>
      </c>
      <c r="D37" s="253"/>
      <c r="E37" s="33">
        <f>C37*$E$6</f>
        <v>1580</v>
      </c>
      <c r="F37" s="34"/>
      <c r="G37" s="33">
        <f>C37*$G$6</f>
        <v>1168</v>
      </c>
      <c r="H37" s="34"/>
      <c r="I37" s="11">
        <f>C37*$I$6</f>
        <v>1400</v>
      </c>
      <c r="J37" s="34"/>
      <c r="K37" s="29">
        <f>C37*$K$6</f>
        <v>1200</v>
      </c>
      <c r="L37" s="35"/>
      <c r="M37" s="12">
        <f>C37*$M$6</f>
        <v>80</v>
      </c>
      <c r="N37" s="34"/>
      <c r="O37" s="11">
        <f>C37*$O$6</f>
        <v>0</v>
      </c>
      <c r="P37" s="34"/>
      <c r="Q37" s="248">
        <f>$Q$6*C37</f>
        <v>200</v>
      </c>
      <c r="R37" s="34"/>
      <c r="S37" s="248">
        <f>$S$6*C37</f>
        <v>600</v>
      </c>
      <c r="T37" s="33"/>
      <c r="U37" s="248">
        <f>$U$6*C37</f>
        <v>80</v>
      </c>
      <c r="V37" s="33"/>
      <c r="W37" s="249">
        <f>C37*$W$6</f>
        <v>1600</v>
      </c>
      <c r="X37" s="248"/>
      <c r="Y37" s="249">
        <f>Y24*C37</f>
        <v>8400</v>
      </c>
      <c r="Z37" s="248"/>
      <c r="AA37" s="249">
        <f>$AA$6*C37</f>
        <v>3600</v>
      </c>
      <c r="AB37" s="248"/>
      <c r="AC37" s="11">
        <f>$AC$6*C37</f>
        <v>88</v>
      </c>
      <c r="AD37" s="33"/>
      <c r="AE37" s="12">
        <f>$AE$6*C37</f>
        <v>2480</v>
      </c>
      <c r="AF37" s="33"/>
      <c r="AG37" s="33">
        <f>$AG$6*C37</f>
        <v>800</v>
      </c>
      <c r="AH37" s="33"/>
      <c r="AI37" s="12">
        <f>$AI$6*C37</f>
        <v>880</v>
      </c>
      <c r="AJ37" s="33"/>
      <c r="AK37" s="12">
        <f>$AK$6*C37</f>
        <v>300</v>
      </c>
      <c r="AL37" s="33"/>
      <c r="AM37" s="12"/>
      <c r="AN37" s="33"/>
      <c r="AO37" s="12"/>
      <c r="AP37" s="33"/>
      <c r="AQ37" s="33">
        <f>$AQ$6*C37</f>
        <v>1700</v>
      </c>
      <c r="AR37" s="33"/>
      <c r="AS37" s="33">
        <f>$AS$6*C37</f>
        <v>400</v>
      </c>
      <c r="AT37" s="44"/>
      <c r="AU37" s="33">
        <f>$AS$6*E37</f>
        <v>158000</v>
      </c>
      <c r="AV37" s="44"/>
      <c r="AW37" s="47">
        <f t="shared" si="0"/>
        <v>26556</v>
      </c>
    </row>
    <row r="38" spans="1:49" ht="16" x14ac:dyDescent="0.2">
      <c r="A38" s="8">
        <f t="shared" si="1"/>
        <v>32</v>
      </c>
      <c r="B38" s="254" t="s">
        <v>65</v>
      </c>
      <c r="C38" s="14">
        <v>1</v>
      </c>
      <c r="D38" s="14"/>
      <c r="E38" s="9">
        <f>C38*$E$6</f>
        <v>395</v>
      </c>
      <c r="F38" s="39"/>
      <c r="G38" s="9">
        <f>C38*$G$6</f>
        <v>292</v>
      </c>
      <c r="H38" s="34"/>
      <c r="I38" s="11">
        <f>C38*$I$6</f>
        <v>350</v>
      </c>
      <c r="J38" s="34"/>
      <c r="K38" s="29">
        <f>C38*$K$6</f>
        <v>300</v>
      </c>
      <c r="L38" s="35"/>
      <c r="M38" s="12">
        <f>C38*$M$6</f>
        <v>20</v>
      </c>
      <c r="N38" s="34"/>
      <c r="O38" s="11">
        <f>C38*$O$6</f>
        <v>0</v>
      </c>
      <c r="P38" s="34"/>
      <c r="Q38" s="248">
        <f>$Q$6*C38</f>
        <v>50</v>
      </c>
      <c r="R38" s="34"/>
      <c r="S38" s="248"/>
      <c r="T38" s="33"/>
      <c r="U38" s="248">
        <f>$U$6*C38</f>
        <v>20</v>
      </c>
      <c r="V38" s="33"/>
      <c r="W38" s="249">
        <f>C38*$W$6</f>
        <v>400</v>
      </c>
      <c r="X38" s="248"/>
      <c r="Y38" s="249">
        <v>2100</v>
      </c>
      <c r="Z38" s="248"/>
      <c r="AA38" s="249">
        <f>$AA$6*C38</f>
        <v>900</v>
      </c>
      <c r="AB38" s="248"/>
      <c r="AC38" s="11">
        <f>$AC$6*C38</f>
        <v>22</v>
      </c>
      <c r="AD38" s="33"/>
      <c r="AE38" s="12">
        <f>$AE$6*C38</f>
        <v>620</v>
      </c>
      <c r="AF38" s="33"/>
      <c r="AG38" s="33">
        <f>$AG$6*C38</f>
        <v>200</v>
      </c>
      <c r="AH38" s="33"/>
      <c r="AI38" s="12">
        <f>C38*$AI$6</f>
        <v>220</v>
      </c>
      <c r="AJ38" s="33"/>
      <c r="AK38" s="12">
        <f>$AK$6*C38</f>
        <v>75</v>
      </c>
      <c r="AL38" s="33"/>
      <c r="AM38" s="12"/>
      <c r="AN38" s="33"/>
      <c r="AO38" s="12">
        <f>$AO$6*C38</f>
        <v>63</v>
      </c>
      <c r="AP38" s="33"/>
      <c r="AQ38" s="33">
        <f>$AQ$6*C38</f>
        <v>425</v>
      </c>
      <c r="AR38" s="33"/>
      <c r="AS38" s="33">
        <f>$AS$6*C38</f>
        <v>100</v>
      </c>
      <c r="AT38" s="44"/>
      <c r="AU38" s="33">
        <f>$AS$6*E38</f>
        <v>39500</v>
      </c>
      <c r="AV38" s="44"/>
      <c r="AW38" s="47">
        <f t="shared" si="0"/>
        <v>6552</v>
      </c>
    </row>
    <row r="39" spans="1:49" x14ac:dyDescent="0.2">
      <c r="A39" s="8">
        <f t="shared" si="1"/>
        <v>33</v>
      </c>
      <c r="B39" s="19" t="s">
        <v>94</v>
      </c>
      <c r="C39" s="13">
        <v>1</v>
      </c>
      <c r="D39" s="13"/>
      <c r="E39" s="9"/>
      <c r="F39" s="39"/>
      <c r="G39" s="9"/>
      <c r="H39" s="34"/>
      <c r="I39" s="11">
        <f>C39*$I$6</f>
        <v>350</v>
      </c>
      <c r="J39" s="34"/>
      <c r="K39" s="29"/>
      <c r="L39" s="35"/>
      <c r="M39" s="12"/>
      <c r="N39" s="35"/>
      <c r="O39" s="11">
        <f>C39*$O$6</f>
        <v>0</v>
      </c>
      <c r="P39" s="34"/>
      <c r="Q39" s="248">
        <f>$Q$6*C39</f>
        <v>50</v>
      </c>
      <c r="R39" s="34"/>
      <c r="S39" s="33"/>
      <c r="T39" s="33"/>
      <c r="U39" s="33"/>
      <c r="V39" s="33"/>
      <c r="W39" s="249"/>
      <c r="X39" s="248"/>
      <c r="Y39" s="249"/>
      <c r="Z39" s="248"/>
      <c r="AA39" s="249"/>
      <c r="AB39" s="248"/>
      <c r="AC39" s="11">
        <f>$AC$6*C39</f>
        <v>22</v>
      </c>
      <c r="AD39" s="33"/>
      <c r="AE39" s="12">
        <v>716</v>
      </c>
      <c r="AF39" s="33"/>
      <c r="AG39" s="33"/>
      <c r="AH39" s="33"/>
      <c r="AI39" s="12">
        <f>C39*$AI$6</f>
        <v>220</v>
      </c>
      <c r="AJ39" s="33"/>
      <c r="AK39" s="12"/>
      <c r="AL39" s="33"/>
      <c r="AM39" s="12"/>
      <c r="AN39" s="33"/>
      <c r="AO39" s="12"/>
      <c r="AP39" s="33"/>
      <c r="AQ39" s="33"/>
      <c r="AR39" s="33"/>
      <c r="AS39" s="33"/>
      <c r="AT39" s="44"/>
      <c r="AU39" s="33"/>
      <c r="AV39" s="44"/>
      <c r="AW39" s="47">
        <f t="shared" si="0"/>
        <v>1358</v>
      </c>
    </row>
    <row r="40" spans="1:49" x14ac:dyDescent="0.2">
      <c r="A40" s="8">
        <f t="shared" si="1"/>
        <v>34</v>
      </c>
      <c r="B40" s="19" t="s">
        <v>66</v>
      </c>
      <c r="C40" s="13">
        <v>1</v>
      </c>
      <c r="D40" s="70"/>
      <c r="F40" s="39"/>
      <c r="G40" s="9"/>
      <c r="H40" s="34"/>
      <c r="I40" s="11"/>
      <c r="J40" s="34"/>
      <c r="K40" s="29"/>
      <c r="L40" s="35"/>
      <c r="M40" s="12"/>
      <c r="N40" s="35"/>
      <c r="O40" s="11"/>
      <c r="P40" s="247"/>
      <c r="Q40" s="248"/>
      <c r="R40" s="247"/>
      <c r="S40" s="248"/>
      <c r="T40" s="248"/>
      <c r="U40" s="248"/>
      <c r="V40" s="248"/>
      <c r="W40" s="249"/>
      <c r="X40" s="248"/>
      <c r="Y40" s="249"/>
      <c r="Z40" s="248"/>
      <c r="AA40" s="249"/>
      <c r="AB40" s="248"/>
      <c r="AC40" s="11"/>
      <c r="AD40" s="33"/>
      <c r="AE40" s="12"/>
      <c r="AF40" s="33"/>
      <c r="AG40" s="33"/>
      <c r="AH40" s="33"/>
      <c r="AI40" s="12">
        <f>C40*$AI$6</f>
        <v>220</v>
      </c>
      <c r="AJ40" s="33"/>
      <c r="AK40" s="12"/>
      <c r="AL40" s="33"/>
      <c r="AM40" s="12"/>
      <c r="AN40" s="33"/>
      <c r="AO40" s="12"/>
      <c r="AP40" s="33"/>
      <c r="AQ40" s="33"/>
      <c r="AR40" s="33"/>
      <c r="AS40" s="33"/>
      <c r="AT40" s="44"/>
      <c r="AU40" s="33"/>
      <c r="AV40" s="44"/>
      <c r="AW40" s="47">
        <f t="shared" si="0"/>
        <v>220</v>
      </c>
    </row>
    <row r="41" spans="1:49" x14ac:dyDescent="0.2">
      <c r="A41" s="8">
        <f t="shared" si="1"/>
        <v>35</v>
      </c>
      <c r="B41" s="19" t="s">
        <v>67</v>
      </c>
      <c r="C41" s="13">
        <v>1</v>
      </c>
      <c r="D41" s="13"/>
      <c r="E41" s="9">
        <f>C41*$E$6</f>
        <v>395</v>
      </c>
      <c r="F41" s="39"/>
      <c r="G41" s="9"/>
      <c r="H41" s="34"/>
      <c r="I41" s="11"/>
      <c r="J41" s="34"/>
      <c r="K41" s="29"/>
      <c r="L41" s="35"/>
      <c r="M41" s="12"/>
      <c r="N41" s="35"/>
      <c r="O41" s="11"/>
      <c r="P41" s="247"/>
      <c r="Q41" s="248"/>
      <c r="R41" s="247"/>
      <c r="S41" s="248"/>
      <c r="T41" s="248"/>
      <c r="U41" s="248"/>
      <c r="V41" s="248"/>
      <c r="W41" s="249"/>
      <c r="X41" s="248"/>
      <c r="Y41" s="249"/>
      <c r="Z41" s="248"/>
      <c r="AA41" s="249"/>
      <c r="AB41" s="248"/>
      <c r="AC41" s="11"/>
      <c r="AD41" s="33"/>
      <c r="AE41" s="12"/>
      <c r="AF41" s="33"/>
      <c r="AG41" s="33"/>
      <c r="AH41" s="33"/>
      <c r="AI41" s="12"/>
      <c r="AJ41" s="33"/>
      <c r="AK41" s="12"/>
      <c r="AL41" s="33"/>
      <c r="AM41" s="12"/>
      <c r="AN41" s="33"/>
      <c r="AO41" s="12"/>
      <c r="AP41" s="33"/>
      <c r="AQ41" s="33"/>
      <c r="AR41" s="33"/>
      <c r="AS41" s="33"/>
      <c r="AT41" s="44"/>
      <c r="AU41" s="33"/>
      <c r="AV41" s="44"/>
      <c r="AW41" s="47">
        <f t="shared" si="0"/>
        <v>395</v>
      </c>
    </row>
    <row r="42" spans="1:49" x14ac:dyDescent="0.2">
      <c r="A42" s="8">
        <f t="shared" si="1"/>
        <v>36</v>
      </c>
      <c r="B42" s="19" t="s">
        <v>68</v>
      </c>
      <c r="C42" s="13">
        <v>1</v>
      </c>
      <c r="D42" s="13"/>
      <c r="E42" s="9">
        <v>0</v>
      </c>
      <c r="F42" s="39"/>
      <c r="G42" s="23"/>
      <c r="H42" s="34"/>
      <c r="I42" s="11"/>
      <c r="J42" s="34"/>
      <c r="K42" s="29">
        <f>$K$6*C42</f>
        <v>300</v>
      </c>
      <c r="L42" s="35"/>
      <c r="M42" s="12">
        <f>C42*$M$6</f>
        <v>20</v>
      </c>
      <c r="N42" s="34"/>
      <c r="O42" s="11"/>
      <c r="P42" s="247"/>
      <c r="Q42" s="248"/>
      <c r="R42" s="247"/>
      <c r="S42" s="248"/>
      <c r="T42" s="248"/>
      <c r="U42" s="248">
        <f>$U$6*C42</f>
        <v>20</v>
      </c>
      <c r="V42" s="248"/>
      <c r="W42" s="249">
        <f>C42*$W$6</f>
        <v>400</v>
      </c>
      <c r="X42" s="248"/>
      <c r="Y42" s="249">
        <f>C42*$Y$6</f>
        <v>2100</v>
      </c>
      <c r="Z42" s="248"/>
      <c r="AA42" s="249">
        <f>$AA$6*C42</f>
        <v>900</v>
      </c>
      <c r="AB42" s="248"/>
      <c r="AC42" s="11">
        <f>$AC$6</f>
        <v>22</v>
      </c>
      <c r="AD42" s="33"/>
      <c r="AE42" s="12">
        <v>50</v>
      </c>
      <c r="AF42" s="33"/>
      <c r="AG42" s="33">
        <f>$AG$6*C42</f>
        <v>200</v>
      </c>
      <c r="AH42" s="33"/>
      <c r="AI42" s="12"/>
      <c r="AJ42" s="33"/>
      <c r="AK42" s="12">
        <f>C42*$AK$6</f>
        <v>75</v>
      </c>
      <c r="AL42" s="33"/>
      <c r="AM42" s="12"/>
      <c r="AN42" s="33"/>
      <c r="AO42" s="12"/>
      <c r="AP42" s="33"/>
      <c r="AQ42" s="33">
        <f>$AQ$6*C42</f>
        <v>425</v>
      </c>
      <c r="AR42" s="33"/>
      <c r="AS42" s="33">
        <f>$AS$6*C42</f>
        <v>100</v>
      </c>
      <c r="AT42" s="44"/>
      <c r="AU42" s="33">
        <f>$AS$6*E42</f>
        <v>0</v>
      </c>
      <c r="AV42" s="44"/>
      <c r="AW42" s="47">
        <f t="shared" si="0"/>
        <v>4612</v>
      </c>
    </row>
    <row r="43" spans="1:49" x14ac:dyDescent="0.2">
      <c r="A43" s="8">
        <f t="shared" si="1"/>
        <v>37</v>
      </c>
      <c r="B43" s="19" t="s">
        <v>69</v>
      </c>
      <c r="C43" s="13">
        <v>1</v>
      </c>
      <c r="D43" s="13"/>
      <c r="E43" s="9"/>
      <c r="F43" s="39"/>
      <c r="G43" s="23"/>
      <c r="H43" s="34"/>
      <c r="I43" s="11"/>
      <c r="J43" s="34"/>
      <c r="K43" s="29"/>
      <c r="L43" s="35"/>
      <c r="M43" s="12"/>
      <c r="N43" s="34"/>
      <c r="O43" s="11"/>
      <c r="P43" s="247"/>
      <c r="Q43" s="248"/>
      <c r="R43" s="247"/>
      <c r="S43" s="248"/>
      <c r="T43" s="248"/>
      <c r="U43" s="248"/>
      <c r="V43" s="248"/>
      <c r="W43" s="249"/>
      <c r="X43" s="248"/>
      <c r="Y43" s="249"/>
      <c r="Z43" s="248"/>
      <c r="AA43" s="249"/>
      <c r="AB43" s="248"/>
      <c r="AC43" s="11"/>
      <c r="AD43" s="33"/>
      <c r="AE43" s="12"/>
      <c r="AF43" s="33"/>
      <c r="AG43" s="33"/>
      <c r="AH43" s="33"/>
      <c r="AI43" s="12"/>
      <c r="AJ43" s="33"/>
      <c r="AK43" s="12">
        <f>C43*$AK$6</f>
        <v>75</v>
      </c>
      <c r="AL43" s="33"/>
      <c r="AM43" s="12"/>
      <c r="AN43" s="33"/>
      <c r="AO43" s="12"/>
      <c r="AP43" s="33"/>
      <c r="AQ43" s="33"/>
      <c r="AR43" s="33"/>
      <c r="AS43" s="33"/>
      <c r="AT43" s="44"/>
      <c r="AU43" s="33"/>
      <c r="AV43" s="44"/>
      <c r="AW43" s="47">
        <f t="shared" si="0"/>
        <v>75</v>
      </c>
    </row>
    <row r="44" spans="1:49" x14ac:dyDescent="0.2">
      <c r="A44" s="8">
        <f t="shared" si="1"/>
        <v>38</v>
      </c>
      <c r="B44" s="19" t="s">
        <v>70</v>
      </c>
      <c r="C44" s="13">
        <v>1</v>
      </c>
      <c r="D44" s="13"/>
      <c r="E44" s="9"/>
      <c r="F44" s="39"/>
      <c r="G44" s="9">
        <f>C44*$G$6</f>
        <v>292</v>
      </c>
      <c r="H44" s="34"/>
      <c r="I44" s="11"/>
      <c r="J44" s="34"/>
      <c r="K44" s="29"/>
      <c r="L44" s="35"/>
      <c r="M44" s="12"/>
      <c r="N44" s="35"/>
      <c r="O44" s="11"/>
      <c r="P44" s="247"/>
      <c r="Q44" s="248"/>
      <c r="R44" s="247"/>
      <c r="S44" s="248"/>
      <c r="T44" s="248"/>
      <c r="U44" s="248"/>
      <c r="V44" s="248"/>
      <c r="W44" s="249"/>
      <c r="X44" s="248"/>
      <c r="Y44" s="249"/>
      <c r="Z44" s="248"/>
      <c r="AA44" s="249"/>
      <c r="AB44" s="248"/>
      <c r="AC44" s="11"/>
      <c r="AD44" s="33"/>
      <c r="AE44" s="12"/>
      <c r="AF44" s="33"/>
      <c r="AG44" s="33"/>
      <c r="AH44" s="33"/>
      <c r="AI44" s="12"/>
      <c r="AJ44" s="33"/>
      <c r="AK44" s="12"/>
      <c r="AL44" s="33"/>
      <c r="AM44" s="12"/>
      <c r="AN44" s="33"/>
      <c r="AO44" s="12"/>
      <c r="AP44" s="33"/>
      <c r="AQ44" s="33"/>
      <c r="AR44" s="33"/>
      <c r="AS44" s="33"/>
      <c r="AT44" s="44"/>
      <c r="AU44" s="33"/>
      <c r="AV44" s="44"/>
      <c r="AW44" s="47">
        <f t="shared" si="0"/>
        <v>292</v>
      </c>
    </row>
    <row r="45" spans="1:49" x14ac:dyDescent="0.2">
      <c r="A45" s="8">
        <f t="shared" si="1"/>
        <v>39</v>
      </c>
      <c r="B45" s="19" t="s">
        <v>71</v>
      </c>
      <c r="C45" s="13">
        <v>1</v>
      </c>
      <c r="D45" s="13"/>
      <c r="E45" s="9"/>
      <c r="F45" s="39"/>
      <c r="G45" s="9"/>
      <c r="H45" s="34"/>
      <c r="I45" s="11"/>
      <c r="J45" s="34"/>
      <c r="K45" s="29"/>
      <c r="L45" s="35"/>
      <c r="M45" s="12"/>
      <c r="N45" s="35"/>
      <c r="O45" s="11"/>
      <c r="P45" s="247"/>
      <c r="Q45" s="248"/>
      <c r="R45" s="247"/>
      <c r="S45" s="248"/>
      <c r="T45" s="248"/>
      <c r="U45" s="248"/>
      <c r="V45" s="248"/>
      <c r="W45" s="249"/>
      <c r="X45" s="248"/>
      <c r="Y45" s="249"/>
      <c r="Z45" s="248"/>
      <c r="AA45" s="249"/>
      <c r="AB45" s="248"/>
      <c r="AC45" s="11"/>
      <c r="AD45" s="33"/>
      <c r="AE45" s="12"/>
      <c r="AF45" s="33"/>
      <c r="AG45" s="33"/>
      <c r="AH45" s="33"/>
      <c r="AI45" s="12"/>
      <c r="AJ45" s="33"/>
      <c r="AK45" s="12"/>
      <c r="AL45" s="33"/>
      <c r="AM45" s="12"/>
      <c r="AN45" s="33"/>
      <c r="AO45" s="12"/>
      <c r="AP45" s="33"/>
      <c r="AQ45" s="33"/>
      <c r="AR45" s="33"/>
      <c r="AS45" s="33"/>
      <c r="AT45" s="44"/>
      <c r="AU45" s="33"/>
      <c r="AV45" s="44"/>
      <c r="AW45" s="47">
        <f t="shared" si="0"/>
        <v>0</v>
      </c>
    </row>
    <row r="46" spans="1:49" x14ac:dyDescent="0.2">
      <c r="A46" s="8">
        <f t="shared" si="1"/>
        <v>40</v>
      </c>
      <c r="B46" s="19" t="s">
        <v>72</v>
      </c>
      <c r="C46" s="13"/>
      <c r="D46" s="13"/>
      <c r="E46" s="9"/>
      <c r="F46" s="39"/>
      <c r="G46" s="9"/>
      <c r="H46" s="34"/>
      <c r="I46" s="11"/>
      <c r="J46" s="34"/>
      <c r="K46" s="29"/>
      <c r="L46" s="35"/>
      <c r="M46" s="12"/>
      <c r="N46" s="35"/>
      <c r="O46" s="11"/>
      <c r="P46" s="247"/>
      <c r="Q46" s="248"/>
      <c r="R46" s="247"/>
      <c r="S46" s="248"/>
      <c r="T46" s="248"/>
      <c r="U46" s="248"/>
      <c r="V46" s="248"/>
      <c r="W46" s="249"/>
      <c r="X46" s="248"/>
      <c r="Y46" s="249"/>
      <c r="Z46" s="248"/>
      <c r="AA46" s="249">
        <f>$AA$6*C46</f>
        <v>0</v>
      </c>
      <c r="AB46" s="248"/>
      <c r="AC46" s="11"/>
      <c r="AD46" s="33"/>
      <c r="AE46" s="12"/>
      <c r="AF46" s="33"/>
      <c r="AG46" s="33"/>
      <c r="AH46" s="33"/>
      <c r="AI46" s="12"/>
      <c r="AJ46" s="33"/>
      <c r="AK46" s="12"/>
      <c r="AL46" s="33"/>
      <c r="AM46" s="12"/>
      <c r="AN46" s="33"/>
      <c r="AO46" s="12"/>
      <c r="AP46" s="33"/>
      <c r="AQ46" s="33"/>
      <c r="AR46" s="33"/>
      <c r="AS46" s="33"/>
      <c r="AT46" s="44"/>
      <c r="AU46" s="33"/>
      <c r="AV46" s="44"/>
      <c r="AW46" s="47">
        <f t="shared" si="0"/>
        <v>0</v>
      </c>
    </row>
    <row r="47" spans="1:49" x14ac:dyDescent="0.2">
      <c r="A47" s="8">
        <f t="shared" si="1"/>
        <v>41</v>
      </c>
      <c r="B47" s="19" t="s">
        <v>73</v>
      </c>
      <c r="C47" s="13">
        <v>1</v>
      </c>
      <c r="D47" s="13"/>
      <c r="E47" s="9"/>
      <c r="F47" s="39"/>
      <c r="G47" s="9"/>
      <c r="H47" s="34"/>
      <c r="I47" s="11"/>
      <c r="J47" s="34"/>
      <c r="K47" s="29"/>
      <c r="L47" s="35"/>
      <c r="M47" s="12"/>
      <c r="N47" s="35"/>
      <c r="O47" s="11"/>
      <c r="P47" s="247"/>
      <c r="Q47" s="248"/>
      <c r="R47" s="247"/>
      <c r="S47" s="248"/>
      <c r="T47" s="248"/>
      <c r="U47" s="248"/>
      <c r="V47" s="248"/>
      <c r="W47" s="249"/>
      <c r="X47" s="248"/>
      <c r="Y47" s="249"/>
      <c r="Z47" s="248"/>
      <c r="AA47" s="249"/>
      <c r="AB47" s="248"/>
      <c r="AC47" s="11"/>
      <c r="AD47" s="33"/>
      <c r="AE47" s="12"/>
      <c r="AF47" s="33"/>
      <c r="AG47" s="33"/>
      <c r="AH47" s="33"/>
      <c r="AI47" s="12"/>
      <c r="AJ47" s="33"/>
      <c r="AK47" s="12"/>
      <c r="AL47" s="33"/>
      <c r="AM47" s="12"/>
      <c r="AN47" s="33"/>
      <c r="AO47" s="12">
        <f>$AO$6*C47</f>
        <v>63</v>
      </c>
      <c r="AP47" s="33"/>
      <c r="AQ47" s="33"/>
      <c r="AR47" s="33"/>
      <c r="AS47" s="33"/>
      <c r="AT47" s="44"/>
      <c r="AU47" s="33"/>
      <c r="AV47" s="44"/>
      <c r="AW47" s="47">
        <f t="shared" si="0"/>
        <v>63</v>
      </c>
    </row>
    <row r="48" spans="1:49" x14ac:dyDescent="0.2">
      <c r="A48" s="8">
        <f t="shared" si="1"/>
        <v>42</v>
      </c>
      <c r="B48" s="20" t="s">
        <v>74</v>
      </c>
      <c r="C48" s="13">
        <v>1</v>
      </c>
      <c r="D48" s="13"/>
      <c r="E48" s="9"/>
      <c r="F48" s="39"/>
      <c r="G48" s="9"/>
      <c r="H48" s="34"/>
      <c r="I48" s="11"/>
      <c r="J48" s="34"/>
      <c r="K48" s="29"/>
      <c r="L48" s="35"/>
      <c r="M48" s="12"/>
      <c r="N48" s="35"/>
      <c r="O48" s="11">
        <f>C48*$O$6</f>
        <v>0</v>
      </c>
      <c r="P48" s="34"/>
      <c r="Q48" s="33"/>
      <c r="R48" s="34"/>
      <c r="S48" s="33"/>
      <c r="T48" s="33"/>
      <c r="U48" s="33"/>
      <c r="V48" s="33"/>
      <c r="W48" s="249"/>
      <c r="X48" s="248"/>
      <c r="Y48" s="249"/>
      <c r="Z48" s="248"/>
      <c r="AA48" s="249"/>
      <c r="AB48" s="248"/>
      <c r="AC48" s="11"/>
      <c r="AD48" s="33"/>
      <c r="AE48" s="12"/>
      <c r="AF48" s="33"/>
      <c r="AG48" s="33"/>
      <c r="AH48" s="33"/>
      <c r="AI48" s="12"/>
      <c r="AJ48" s="33"/>
      <c r="AK48" s="12"/>
      <c r="AL48" s="33"/>
      <c r="AM48" s="12"/>
      <c r="AN48" s="33"/>
      <c r="AO48" s="12"/>
      <c r="AP48" s="33"/>
      <c r="AQ48" s="33"/>
      <c r="AR48" s="33"/>
      <c r="AS48" s="33"/>
      <c r="AT48" s="44"/>
      <c r="AU48" s="33"/>
      <c r="AV48" s="44"/>
      <c r="AW48" s="47">
        <f t="shared" si="0"/>
        <v>0</v>
      </c>
    </row>
    <row r="49" spans="1:49" x14ac:dyDescent="0.2">
      <c r="A49" s="8">
        <f t="shared" si="1"/>
        <v>43</v>
      </c>
      <c r="B49" s="246" t="s">
        <v>75</v>
      </c>
      <c r="C49" s="13">
        <v>2</v>
      </c>
      <c r="D49" s="13"/>
      <c r="E49" s="9"/>
      <c r="F49" s="39"/>
      <c r="G49" s="9"/>
      <c r="H49" s="34"/>
      <c r="I49" s="11"/>
      <c r="J49" s="34"/>
      <c r="K49" s="29"/>
      <c r="L49" s="35"/>
      <c r="M49" s="12"/>
      <c r="N49" s="35"/>
      <c r="O49" s="11">
        <f>C49*$O$6</f>
        <v>0</v>
      </c>
      <c r="P49" s="34"/>
      <c r="Q49" s="33"/>
      <c r="R49" s="34"/>
      <c r="S49" s="33"/>
      <c r="T49" s="33"/>
      <c r="U49" s="33"/>
      <c r="V49" s="33"/>
      <c r="W49" s="249"/>
      <c r="X49" s="248"/>
      <c r="Y49" s="249"/>
      <c r="Z49" s="248"/>
      <c r="AA49" s="249"/>
      <c r="AB49" s="248"/>
      <c r="AC49" s="11"/>
      <c r="AD49" s="33"/>
      <c r="AE49" s="12"/>
      <c r="AF49" s="33"/>
      <c r="AG49" s="33"/>
      <c r="AH49" s="33"/>
      <c r="AI49" s="12"/>
      <c r="AJ49" s="33"/>
      <c r="AK49" s="12"/>
      <c r="AL49" s="33"/>
      <c r="AM49" s="12"/>
      <c r="AN49" s="33"/>
      <c r="AO49" s="12"/>
      <c r="AP49" s="33"/>
      <c r="AQ49" s="33"/>
      <c r="AR49" s="33"/>
      <c r="AS49" s="33"/>
      <c r="AT49" s="44"/>
      <c r="AU49" s="33"/>
      <c r="AV49" s="44"/>
      <c r="AW49" s="47">
        <f t="shared" si="0"/>
        <v>0</v>
      </c>
    </row>
    <row r="50" spans="1:49" x14ac:dyDescent="0.2">
      <c r="A50" s="8">
        <f t="shared" si="1"/>
        <v>44</v>
      </c>
      <c r="B50" s="246" t="s">
        <v>76</v>
      </c>
      <c r="C50" s="250">
        <v>1</v>
      </c>
      <c r="D50" s="250"/>
      <c r="E50" s="9"/>
      <c r="F50" s="39"/>
      <c r="G50" s="9"/>
      <c r="H50" s="34"/>
      <c r="I50" s="11"/>
      <c r="J50" s="34"/>
      <c r="K50" s="29"/>
      <c r="L50" s="35"/>
      <c r="M50" s="12"/>
      <c r="N50" s="35"/>
      <c r="O50" s="11">
        <f>C50*$O$6</f>
        <v>0</v>
      </c>
      <c r="P50" s="34"/>
      <c r="Q50" s="33"/>
      <c r="R50" s="34"/>
      <c r="S50" s="33"/>
      <c r="T50" s="33"/>
      <c r="U50" s="33"/>
      <c r="V50" s="33"/>
      <c r="W50" s="249"/>
      <c r="X50" s="248"/>
      <c r="Y50" s="249"/>
      <c r="Z50" s="248"/>
      <c r="AA50" s="249"/>
      <c r="AB50" s="248"/>
      <c r="AC50" s="11"/>
      <c r="AD50" s="33"/>
      <c r="AE50" s="12"/>
      <c r="AF50" s="33"/>
      <c r="AG50" s="33"/>
      <c r="AH50" s="33"/>
      <c r="AI50" s="12"/>
      <c r="AJ50" s="33"/>
      <c r="AK50" s="12"/>
      <c r="AL50" s="61"/>
      <c r="AM50" s="64"/>
      <c r="AN50" s="61"/>
      <c r="AO50" s="64"/>
      <c r="AP50" s="33"/>
      <c r="AQ50" s="33"/>
      <c r="AR50" s="33"/>
      <c r="AS50" s="33"/>
      <c r="AT50" s="44"/>
      <c r="AU50" s="33"/>
      <c r="AV50" s="44"/>
      <c r="AW50" s="47">
        <f t="shared" si="0"/>
        <v>0</v>
      </c>
    </row>
    <row r="51" spans="1:49" x14ac:dyDescent="0.2">
      <c r="A51" s="8">
        <f t="shared" si="1"/>
        <v>45</v>
      </c>
      <c r="B51" s="246" t="s">
        <v>77</v>
      </c>
      <c r="C51" s="250">
        <v>1</v>
      </c>
      <c r="D51" s="250"/>
      <c r="E51" s="9"/>
      <c r="F51" s="39"/>
      <c r="G51" s="9"/>
      <c r="H51" s="34"/>
      <c r="I51" s="11"/>
      <c r="J51" s="34"/>
      <c r="K51" s="29"/>
      <c r="L51" s="35"/>
      <c r="M51" s="12"/>
      <c r="N51" s="35"/>
      <c r="O51" s="11"/>
      <c r="P51" s="247"/>
      <c r="Q51" s="248"/>
      <c r="R51" s="247"/>
      <c r="S51" s="248"/>
      <c r="T51" s="248"/>
      <c r="U51" s="248"/>
      <c r="V51" s="248"/>
      <c r="W51" s="249"/>
      <c r="X51" s="248"/>
      <c r="Y51" s="249"/>
      <c r="Z51" s="248"/>
      <c r="AA51" s="249"/>
      <c r="AB51" s="248"/>
      <c r="AC51" s="11"/>
      <c r="AD51" s="33"/>
      <c r="AE51" s="12"/>
      <c r="AF51" s="33"/>
      <c r="AG51" s="33"/>
      <c r="AH51" s="33"/>
      <c r="AI51" s="12">
        <f t="shared" ref="AI51:AI52" si="2">C51*$AI$6</f>
        <v>220</v>
      </c>
      <c r="AJ51" s="33"/>
      <c r="AK51" s="12">
        <f>C51*$AK$6</f>
        <v>75</v>
      </c>
      <c r="AL51" s="33"/>
      <c r="AM51" s="64"/>
      <c r="AN51" s="61"/>
      <c r="AO51" s="64"/>
      <c r="AP51" s="33"/>
      <c r="AQ51" s="33"/>
      <c r="AR51" s="33"/>
      <c r="AS51" s="33"/>
      <c r="AT51" s="44"/>
      <c r="AU51" s="33"/>
      <c r="AV51" s="44"/>
      <c r="AW51" s="47">
        <f t="shared" si="0"/>
        <v>295</v>
      </c>
    </row>
    <row r="52" spans="1:49" x14ac:dyDescent="0.2">
      <c r="A52" s="8">
        <f t="shared" si="1"/>
        <v>46</v>
      </c>
      <c r="B52" s="246" t="s">
        <v>78</v>
      </c>
      <c r="C52" s="250">
        <v>14</v>
      </c>
      <c r="D52" s="250"/>
      <c r="E52" s="9"/>
      <c r="F52" s="39"/>
      <c r="G52" s="9"/>
      <c r="H52" s="34"/>
      <c r="I52" s="11"/>
      <c r="J52" s="34"/>
      <c r="K52" s="29"/>
      <c r="L52" s="35"/>
      <c r="M52" s="12"/>
      <c r="N52" s="35"/>
      <c r="O52" s="11"/>
      <c r="P52" s="247"/>
      <c r="Q52" s="248"/>
      <c r="R52" s="247"/>
      <c r="S52" s="248"/>
      <c r="T52" s="248"/>
      <c r="U52" s="248"/>
      <c r="V52" s="248"/>
      <c r="W52" s="249"/>
      <c r="X52" s="248"/>
      <c r="Y52" s="249"/>
      <c r="Z52" s="248"/>
      <c r="AA52" s="249"/>
      <c r="AB52" s="248"/>
      <c r="AC52" s="11"/>
      <c r="AD52" s="33"/>
      <c r="AE52" s="12">
        <f>$AE$6*10</f>
        <v>6200</v>
      </c>
      <c r="AF52" s="33"/>
      <c r="AG52" s="33"/>
      <c r="AH52" s="33"/>
      <c r="AI52" s="12">
        <f t="shared" si="2"/>
        <v>3080</v>
      </c>
      <c r="AJ52" s="33"/>
      <c r="AK52" s="12">
        <f>C52*$AK$6</f>
        <v>1050</v>
      </c>
      <c r="AL52" s="33"/>
      <c r="AM52" s="64"/>
      <c r="AN52" s="61"/>
      <c r="AO52" s="64"/>
      <c r="AP52" s="33"/>
      <c r="AQ52" s="33"/>
      <c r="AR52" s="33"/>
      <c r="AS52" s="33"/>
      <c r="AT52" s="44"/>
      <c r="AU52" s="33"/>
      <c r="AV52" s="44"/>
      <c r="AW52" s="47">
        <f t="shared" si="0"/>
        <v>10330</v>
      </c>
    </row>
    <row r="53" spans="1:49" x14ac:dyDescent="0.2">
      <c r="A53" s="8">
        <f t="shared" si="1"/>
        <v>47</v>
      </c>
      <c r="B53" s="246" t="s">
        <v>79</v>
      </c>
      <c r="C53" s="250">
        <v>1</v>
      </c>
      <c r="D53" s="250"/>
      <c r="E53" s="9"/>
      <c r="F53" s="39"/>
      <c r="G53" s="9"/>
      <c r="H53" s="34"/>
      <c r="I53" s="11"/>
      <c r="J53" s="34"/>
      <c r="K53" s="29"/>
      <c r="L53" s="35"/>
      <c r="M53" s="12"/>
      <c r="N53" s="35"/>
      <c r="O53" s="11"/>
      <c r="P53" s="247"/>
      <c r="Q53" s="248"/>
      <c r="R53" s="247"/>
      <c r="S53" s="248"/>
      <c r="T53" s="248"/>
      <c r="U53" s="248"/>
      <c r="V53" s="248"/>
      <c r="W53" s="249"/>
      <c r="X53" s="248"/>
      <c r="Y53" s="249">
        <v>2100</v>
      </c>
      <c r="Z53" s="248"/>
      <c r="AA53" s="249">
        <f>$AA$6*C53</f>
        <v>900</v>
      </c>
      <c r="AB53" s="248"/>
      <c r="AC53" s="11"/>
      <c r="AD53" s="33"/>
      <c r="AE53" s="12"/>
      <c r="AF53" s="33"/>
      <c r="AG53" s="33"/>
      <c r="AH53" s="33"/>
      <c r="AI53" s="12"/>
      <c r="AJ53" s="33"/>
      <c r="AK53" s="12"/>
      <c r="AL53" s="33"/>
      <c r="AM53" s="64"/>
      <c r="AN53" s="61"/>
      <c r="AO53" s="64"/>
      <c r="AP53" s="33"/>
      <c r="AQ53" s="33"/>
      <c r="AR53" s="33"/>
      <c r="AS53" s="33"/>
      <c r="AT53" s="44"/>
      <c r="AU53" s="33"/>
      <c r="AV53" s="44"/>
      <c r="AW53" s="47">
        <f t="shared" si="0"/>
        <v>3000</v>
      </c>
    </row>
    <row r="54" spans="1:49" x14ac:dyDescent="0.2">
      <c r="A54" s="8">
        <f t="shared" si="1"/>
        <v>48</v>
      </c>
      <c r="B54" s="246" t="s">
        <v>80</v>
      </c>
      <c r="C54" s="250">
        <v>1</v>
      </c>
      <c r="D54" s="250"/>
      <c r="E54" s="9"/>
      <c r="F54" s="39"/>
      <c r="G54" s="9"/>
      <c r="H54" s="34"/>
      <c r="I54" s="11"/>
      <c r="J54" s="34"/>
      <c r="K54" s="29"/>
      <c r="L54" s="35"/>
      <c r="M54" s="12"/>
      <c r="N54" s="35"/>
      <c r="O54" s="11"/>
      <c r="P54" s="247"/>
      <c r="Q54" s="248"/>
      <c r="R54" s="247"/>
      <c r="S54" s="248"/>
      <c r="T54" s="248"/>
      <c r="U54" s="248"/>
      <c r="V54" s="248"/>
      <c r="W54" s="249"/>
      <c r="X54" s="248"/>
      <c r="Y54" s="249"/>
      <c r="Z54" s="248"/>
      <c r="AA54" s="249"/>
      <c r="AB54" s="248"/>
      <c r="AC54" s="21"/>
      <c r="AD54" s="65"/>
      <c r="AE54" s="12">
        <f t="shared" ref="AE54" si="3">$AE$6</f>
        <v>620</v>
      </c>
      <c r="AF54" s="33"/>
      <c r="AG54" s="33"/>
      <c r="AH54" s="33"/>
      <c r="AI54" s="12"/>
      <c r="AJ54" s="33"/>
      <c r="AK54" s="12"/>
      <c r="AL54" s="33"/>
      <c r="AM54" s="64"/>
      <c r="AN54" s="61"/>
      <c r="AO54" s="64"/>
      <c r="AP54" s="33"/>
      <c r="AQ54" s="33"/>
      <c r="AR54" s="33"/>
      <c r="AS54" s="33"/>
      <c r="AT54" s="44"/>
      <c r="AU54" s="33"/>
      <c r="AV54" s="44"/>
      <c r="AW54" s="47">
        <f t="shared" si="0"/>
        <v>620</v>
      </c>
    </row>
    <row r="55" spans="1:49" x14ac:dyDescent="0.2">
      <c r="A55" s="21"/>
      <c r="B55" s="22" t="s">
        <v>81</v>
      </c>
      <c r="C55" s="23"/>
      <c r="D55" s="23"/>
      <c r="E55" s="10"/>
      <c r="F55" s="41">
        <f>SUM(F8:F54)</f>
        <v>0</v>
      </c>
      <c r="G55" s="10"/>
      <c r="H55" s="41">
        <f>SUM(H8:H54)</f>
        <v>0</v>
      </c>
      <c r="I55" s="10"/>
      <c r="J55" s="41">
        <f>SUM(J8:J54)</f>
        <v>0</v>
      </c>
      <c r="K55" s="31"/>
      <c r="L55" s="36">
        <f>SUM(L8:L54)</f>
        <v>0</v>
      </c>
      <c r="M55" s="10"/>
      <c r="N55" s="36">
        <f>SUM(N8:N54)</f>
        <v>0</v>
      </c>
      <c r="O55" s="10"/>
      <c r="P55" s="24">
        <f>SUM(P8:P54)</f>
        <v>0</v>
      </c>
      <c r="Q55" s="60"/>
      <c r="R55" s="24"/>
      <c r="S55" s="72"/>
      <c r="T55" s="60"/>
      <c r="U55" s="60"/>
      <c r="V55" s="60"/>
      <c r="W55" s="21"/>
      <c r="X55" s="60">
        <f>SUM(X8:X54)</f>
        <v>0</v>
      </c>
      <c r="Y55" s="60"/>
      <c r="Z55" s="60">
        <f>SUM(Z8:Z54)</f>
        <v>0</v>
      </c>
      <c r="AA55" s="60"/>
      <c r="AB55" s="60"/>
      <c r="AC55" s="65"/>
      <c r="AD55" s="60">
        <f>SUM(AD8:AD54)</f>
        <v>0</v>
      </c>
      <c r="AE55" s="21"/>
      <c r="AF55" s="60">
        <f>SUM(AF8:AF54)</f>
        <v>0</v>
      </c>
      <c r="AG55" s="60"/>
      <c r="AH55" s="60"/>
      <c r="AI55" s="21"/>
      <c r="AJ55" s="60">
        <f>SUM(AJ8:AJ54)</f>
        <v>0</v>
      </c>
      <c r="AK55" s="21"/>
      <c r="AL55" s="60">
        <f>SUM(AL8:AL54)</f>
        <v>0</v>
      </c>
      <c r="AM55" s="21"/>
      <c r="AN55" s="60">
        <f>SUM(AN8:AN54)</f>
        <v>0</v>
      </c>
      <c r="AO55" s="21"/>
      <c r="AP55" s="60">
        <f>SUM(AP8:AP54)</f>
        <v>0</v>
      </c>
      <c r="AQ55" s="60"/>
      <c r="AR55" s="60"/>
      <c r="AS55" s="60"/>
      <c r="AT55" s="36"/>
      <c r="AU55" s="60"/>
      <c r="AV55" s="36"/>
      <c r="AW55" s="47"/>
    </row>
    <row r="56" spans="1:49" x14ac:dyDescent="0.2">
      <c r="B56" s="25"/>
      <c r="C56" s="26"/>
      <c r="D56" s="26"/>
      <c r="E56" s="26"/>
      <c r="F56" s="42">
        <f>F55/E6</f>
        <v>0</v>
      </c>
      <c r="G56" s="26"/>
      <c r="H56" s="42">
        <f>H55/G6</f>
        <v>0</v>
      </c>
      <c r="I56" s="27"/>
      <c r="J56" s="42">
        <f>J55/I6</f>
        <v>0</v>
      </c>
      <c r="K56" s="32"/>
      <c r="L56" s="37">
        <f>L55/K6</f>
        <v>0</v>
      </c>
      <c r="M56" s="27"/>
      <c r="N56" s="37">
        <f>N55/M6</f>
        <v>0</v>
      </c>
      <c r="O56" s="27"/>
      <c r="P56" s="38" t="e">
        <f>P55/O6</f>
        <v>#DIV/0!</v>
      </c>
      <c r="Q56" s="62"/>
      <c r="R56" s="38"/>
      <c r="S56" s="73"/>
      <c r="T56" s="62"/>
      <c r="U56" s="62"/>
      <c r="V56" s="62"/>
      <c r="W56" s="66"/>
      <c r="X56" s="62">
        <f>X55/W6</f>
        <v>0</v>
      </c>
      <c r="Y56" s="66"/>
      <c r="Z56" s="62">
        <f>Z55/Y6</f>
        <v>0</v>
      </c>
      <c r="AA56" s="66"/>
      <c r="AB56" s="62"/>
      <c r="AC56" s="66"/>
      <c r="AD56" s="62">
        <f>AD55/AC6</f>
        <v>0</v>
      </c>
      <c r="AE56" s="66"/>
      <c r="AF56" s="62">
        <f>AF55/AE6</f>
        <v>0</v>
      </c>
      <c r="AG56" s="62"/>
      <c r="AH56" s="62"/>
      <c r="AI56" s="66"/>
      <c r="AJ56" s="62">
        <f>AJ55/AI6</f>
        <v>0</v>
      </c>
      <c r="AL56" s="62">
        <f>AL55/AK6</f>
        <v>0</v>
      </c>
      <c r="AN56" s="62">
        <f>AN55/AM6</f>
        <v>0</v>
      </c>
      <c r="AP56" s="62">
        <f>AP55/AO6</f>
        <v>0</v>
      </c>
      <c r="AQ56" s="62"/>
      <c r="AR56" s="62"/>
      <c r="AS56" s="62"/>
      <c r="AT56" s="37"/>
      <c r="AU56" s="62"/>
      <c r="AV56" s="37"/>
    </row>
    <row r="57" spans="1:49" x14ac:dyDescent="0.2">
      <c r="A57" s="5" t="s">
        <v>82</v>
      </c>
      <c r="B57" s="22" t="s">
        <v>83</v>
      </c>
      <c r="C57" s="51"/>
      <c r="D57" s="51"/>
      <c r="E57" s="63" t="s">
        <v>84</v>
      </c>
      <c r="F57" s="52"/>
      <c r="G57" s="63" t="s">
        <v>84</v>
      </c>
      <c r="H57" s="52"/>
      <c r="I57" s="63" t="s">
        <v>84</v>
      </c>
      <c r="J57" s="52"/>
      <c r="K57" s="63" t="s">
        <v>84</v>
      </c>
      <c r="L57" s="53"/>
      <c r="M57" s="63" t="s">
        <v>84</v>
      </c>
      <c r="N57" s="53"/>
      <c r="O57" s="63" t="s">
        <v>84</v>
      </c>
      <c r="P57" s="51"/>
      <c r="Q57" s="75" t="s">
        <v>84</v>
      </c>
      <c r="R57" s="51"/>
      <c r="S57" s="75" t="s">
        <v>84</v>
      </c>
      <c r="T57" s="64"/>
      <c r="U57" s="75" t="s">
        <v>84</v>
      </c>
      <c r="V57" s="64"/>
      <c r="W57" s="75" t="s">
        <v>84</v>
      </c>
      <c r="X57" s="61"/>
      <c r="Y57" s="75" t="s">
        <v>84</v>
      </c>
      <c r="Z57" s="61"/>
      <c r="AA57" s="75" t="s">
        <v>84</v>
      </c>
      <c r="AB57" s="61"/>
      <c r="AC57" s="75" t="s">
        <v>84</v>
      </c>
      <c r="AD57" s="61"/>
      <c r="AE57" s="75" t="s">
        <v>84</v>
      </c>
      <c r="AF57" s="61"/>
      <c r="AG57" s="75" t="s">
        <v>84</v>
      </c>
      <c r="AH57" s="61"/>
      <c r="AI57" s="75" t="s">
        <v>84</v>
      </c>
      <c r="AJ57" s="61"/>
      <c r="AK57" s="75" t="s">
        <v>84</v>
      </c>
      <c r="AL57" s="61"/>
      <c r="AM57" s="75" t="s">
        <v>84</v>
      </c>
      <c r="AN57" s="61"/>
      <c r="AO57" s="75" t="s">
        <v>84</v>
      </c>
      <c r="AP57" s="61"/>
      <c r="AQ57" s="75" t="s">
        <v>84</v>
      </c>
      <c r="AR57" s="61"/>
      <c r="AS57" s="75" t="s">
        <v>84</v>
      </c>
      <c r="AT57" s="53"/>
      <c r="AU57" s="75" t="s">
        <v>84</v>
      </c>
      <c r="AV57" s="53"/>
      <c r="AW57" s="54"/>
    </row>
    <row r="58" spans="1:49" s="85" customFormat="1" x14ac:dyDescent="0.2">
      <c r="A58" s="77" t="s">
        <v>85</v>
      </c>
      <c r="B58" s="78">
        <v>45992</v>
      </c>
      <c r="C58" s="79"/>
      <c r="D58" s="79"/>
      <c r="E58" s="77">
        <v>50</v>
      </c>
      <c r="F58" s="80">
        <f>F56*E58</f>
        <v>0</v>
      </c>
      <c r="G58" s="77">
        <v>0</v>
      </c>
      <c r="H58" s="80">
        <f>$H$56*G58</f>
        <v>0</v>
      </c>
      <c r="I58" s="77">
        <v>150</v>
      </c>
      <c r="J58" s="80">
        <f>I58*$J$56</f>
        <v>0</v>
      </c>
      <c r="K58" s="81">
        <v>100</v>
      </c>
      <c r="L58" s="82">
        <f>$L$56*K58</f>
        <v>0</v>
      </c>
      <c r="M58" s="83"/>
      <c r="N58" s="82">
        <f>$N$56*M58</f>
        <v>0</v>
      </c>
      <c r="O58" s="83"/>
      <c r="P58" s="82"/>
      <c r="Q58" s="84"/>
      <c r="R58" s="82"/>
      <c r="S58" s="255"/>
      <c r="T58" s="84"/>
      <c r="U58" s="84"/>
      <c r="V58" s="84"/>
      <c r="W58" s="77">
        <v>0</v>
      </c>
      <c r="X58" s="84">
        <f>$X$56*W58</f>
        <v>0</v>
      </c>
      <c r="Y58" s="77"/>
      <c r="Z58" s="84"/>
      <c r="AA58" s="77"/>
      <c r="AB58" s="84"/>
      <c r="AC58" s="77">
        <v>22</v>
      </c>
      <c r="AD58" s="84">
        <f>AD56*AC58</f>
        <v>0</v>
      </c>
      <c r="AE58" s="77"/>
      <c r="AF58" s="84">
        <f>AF56*AE58</f>
        <v>0</v>
      </c>
      <c r="AG58" s="84"/>
      <c r="AH58" s="84"/>
      <c r="AI58" s="77">
        <v>0</v>
      </c>
      <c r="AJ58" s="84"/>
      <c r="AK58" s="77">
        <v>0</v>
      </c>
      <c r="AL58" s="84">
        <f>AL56*AK58</f>
        <v>0</v>
      </c>
      <c r="AM58" s="77"/>
      <c r="AN58" s="84">
        <f>AN56*AM58</f>
        <v>0</v>
      </c>
      <c r="AO58" s="77">
        <v>0</v>
      </c>
      <c r="AP58" s="84"/>
      <c r="AQ58" s="84"/>
      <c r="AR58" s="84"/>
      <c r="AS58" s="84"/>
      <c r="AT58" s="82"/>
      <c r="AU58" s="84"/>
      <c r="AV58" s="82"/>
      <c r="AW58" s="77">
        <f>SUM(E58:AT58)</f>
        <v>322</v>
      </c>
    </row>
    <row r="59" spans="1:49" x14ac:dyDescent="0.2">
      <c r="A59" s="21" t="s">
        <v>86</v>
      </c>
      <c r="B59" s="55">
        <v>46023</v>
      </c>
      <c r="C59" s="23"/>
      <c r="D59" s="23"/>
      <c r="E59" s="21">
        <v>50</v>
      </c>
      <c r="F59" s="56">
        <f>F56*E59</f>
        <v>0</v>
      </c>
      <c r="G59" s="21">
        <v>50</v>
      </c>
      <c r="H59" s="56">
        <f t="shared" ref="H59:H61" si="4">$H$56*G59</f>
        <v>0</v>
      </c>
      <c r="I59" s="21">
        <v>50</v>
      </c>
      <c r="J59" s="56">
        <f t="shared" ref="J59:J61" si="5">I59*$J$56</f>
        <v>0</v>
      </c>
      <c r="K59" s="31">
        <v>80</v>
      </c>
      <c r="L59" s="57">
        <f t="shared" ref="L59:L61" si="6">$L$56*K59</f>
        <v>0</v>
      </c>
      <c r="M59" s="21">
        <v>20</v>
      </c>
      <c r="N59" s="57">
        <f t="shared" ref="N59:N61" si="7">$N$56*M59</f>
        <v>0</v>
      </c>
      <c r="O59" s="21">
        <v>11</v>
      </c>
      <c r="P59" s="57"/>
      <c r="Q59" s="13">
        <v>25</v>
      </c>
      <c r="R59" s="57"/>
      <c r="S59" s="13"/>
      <c r="T59" s="13"/>
      <c r="U59" s="13">
        <v>0</v>
      </c>
      <c r="V59" s="13"/>
      <c r="W59" s="21">
        <v>0</v>
      </c>
      <c r="X59" s="13">
        <f t="shared" ref="X59:X61" si="8">$X$56*W59</f>
        <v>0</v>
      </c>
      <c r="Y59" s="21"/>
      <c r="Z59" s="13"/>
      <c r="AA59" s="21"/>
      <c r="AB59" s="13"/>
      <c r="AC59" s="21"/>
      <c r="AD59" s="13"/>
      <c r="AE59" s="21"/>
      <c r="AF59" s="13"/>
      <c r="AG59" s="13"/>
      <c r="AH59" s="13"/>
      <c r="AI59" s="21">
        <v>50</v>
      </c>
      <c r="AJ59" s="13">
        <f>AJ56*AI59</f>
        <v>0</v>
      </c>
      <c r="AK59" s="21">
        <v>15</v>
      </c>
      <c r="AL59" s="13">
        <f>AL56*AK59</f>
        <v>0</v>
      </c>
      <c r="AM59" s="21">
        <v>164</v>
      </c>
      <c r="AN59" s="13">
        <f>AN56*AM59</f>
        <v>0</v>
      </c>
      <c r="AO59" s="21"/>
      <c r="AP59" s="13">
        <f>AP56*AO59</f>
        <v>0</v>
      </c>
      <c r="AQ59" s="13"/>
      <c r="AR59" s="13"/>
      <c r="AS59" s="13"/>
      <c r="AT59" s="57"/>
      <c r="AU59" s="13"/>
      <c r="AV59" s="57"/>
      <c r="AW59" s="5">
        <f t="shared" ref="AW59:AW61" si="9">SUM(E59:AT59)</f>
        <v>515</v>
      </c>
    </row>
    <row r="60" spans="1:49" x14ac:dyDescent="0.2">
      <c r="A60" s="21" t="s">
        <v>87</v>
      </c>
      <c r="B60" s="55">
        <v>46054</v>
      </c>
      <c r="C60" s="23"/>
      <c r="D60" s="23"/>
      <c r="E60" s="21">
        <v>180</v>
      </c>
      <c r="F60" s="56">
        <f>F56*E60</f>
        <v>0</v>
      </c>
      <c r="G60" s="21">
        <v>0</v>
      </c>
      <c r="H60" s="56">
        <f t="shared" si="4"/>
        <v>0</v>
      </c>
      <c r="I60" s="21">
        <v>100</v>
      </c>
      <c r="J60" s="56">
        <f t="shared" si="5"/>
        <v>0</v>
      </c>
      <c r="K60" s="31">
        <v>125</v>
      </c>
      <c r="L60" s="57">
        <f t="shared" si="6"/>
        <v>0</v>
      </c>
      <c r="M60" s="21">
        <v>50</v>
      </c>
      <c r="N60" s="57">
        <f t="shared" si="7"/>
        <v>0</v>
      </c>
      <c r="O60" s="21"/>
      <c r="P60" s="57"/>
      <c r="Q60" s="13">
        <v>25</v>
      </c>
      <c r="R60" s="57"/>
      <c r="S60" s="13"/>
      <c r="T60" s="13"/>
      <c r="V60" s="13"/>
      <c r="W60" s="21">
        <v>40</v>
      </c>
      <c r="X60" s="13">
        <f t="shared" si="8"/>
        <v>0</v>
      </c>
      <c r="Y60" s="21">
        <v>100</v>
      </c>
      <c r="Z60" s="13">
        <f>Y60*Z56</f>
        <v>0</v>
      </c>
      <c r="AA60" s="21">
        <v>10</v>
      </c>
      <c r="AB60" s="13"/>
      <c r="AC60" s="21">
        <v>22</v>
      </c>
      <c r="AD60" s="13"/>
      <c r="AE60" s="21"/>
      <c r="AF60" s="13">
        <f>AF56*AE60</f>
        <v>0</v>
      </c>
      <c r="AG60" s="13">
        <v>0</v>
      </c>
      <c r="AH60" s="13"/>
      <c r="AI60" s="21">
        <v>50</v>
      </c>
      <c r="AJ60" s="13">
        <f>AJ56*AI60</f>
        <v>0</v>
      </c>
      <c r="AK60" s="21">
        <v>25</v>
      </c>
      <c r="AL60" s="13"/>
      <c r="AM60" s="21">
        <v>225</v>
      </c>
      <c r="AN60" s="13"/>
      <c r="AO60" s="21">
        <v>10</v>
      </c>
      <c r="AP60" s="13"/>
      <c r="AQ60" s="13">
        <v>102</v>
      </c>
      <c r="AR60" s="13"/>
      <c r="AS60" s="13">
        <v>0</v>
      </c>
      <c r="AT60" s="57"/>
      <c r="AU60" s="13">
        <v>0</v>
      </c>
      <c r="AV60" s="57"/>
      <c r="AW60" s="5">
        <f t="shared" si="9"/>
        <v>1064</v>
      </c>
    </row>
    <row r="61" spans="1:49" x14ac:dyDescent="0.2">
      <c r="A61" s="21" t="s">
        <v>88</v>
      </c>
      <c r="B61" s="55">
        <v>46082</v>
      </c>
      <c r="C61" s="23"/>
      <c r="D61" s="23"/>
      <c r="E61" s="21">
        <v>200</v>
      </c>
      <c r="F61" s="56">
        <f>F56*E61</f>
        <v>0</v>
      </c>
      <c r="G61" s="21">
        <v>0</v>
      </c>
      <c r="H61" s="56">
        <f t="shared" si="4"/>
        <v>0</v>
      </c>
      <c r="I61" s="21">
        <v>250</v>
      </c>
      <c r="J61" s="56">
        <f t="shared" si="5"/>
        <v>0</v>
      </c>
      <c r="K61" s="31">
        <v>100</v>
      </c>
      <c r="L61" s="57">
        <f t="shared" si="6"/>
        <v>0</v>
      </c>
      <c r="M61" s="21"/>
      <c r="N61" s="57">
        <f t="shared" si="7"/>
        <v>0</v>
      </c>
      <c r="O61" s="21"/>
      <c r="P61" s="57"/>
      <c r="Q61" s="13"/>
      <c r="R61" s="57"/>
      <c r="S61" s="13">
        <v>85</v>
      </c>
      <c r="T61" s="13"/>
      <c r="U61" s="13">
        <v>20</v>
      </c>
      <c r="V61" s="13"/>
      <c r="W61" s="21">
        <v>60</v>
      </c>
      <c r="X61" s="13">
        <f t="shared" si="8"/>
        <v>0</v>
      </c>
      <c r="Y61" s="21">
        <v>350</v>
      </c>
      <c r="Z61" s="13">
        <f>Y61*Z56</f>
        <v>0</v>
      </c>
      <c r="AA61" s="21">
        <v>400</v>
      </c>
      <c r="AB61" s="13"/>
      <c r="AC61" s="21"/>
      <c r="AD61" s="13"/>
      <c r="AE61" s="21">
        <v>620</v>
      </c>
      <c r="AF61" s="13">
        <f>AF56*AE61</f>
        <v>0</v>
      </c>
      <c r="AG61" s="13">
        <v>0</v>
      </c>
      <c r="AH61" s="13"/>
      <c r="AI61" s="21">
        <v>70</v>
      </c>
      <c r="AJ61" s="13">
        <f>AJ56*AI61</f>
        <v>0</v>
      </c>
      <c r="AK61" s="21">
        <v>45</v>
      </c>
      <c r="AL61" s="13"/>
      <c r="AM61" s="21"/>
      <c r="AN61" s="13"/>
      <c r="AO61" s="21">
        <v>53</v>
      </c>
      <c r="AP61" s="13"/>
      <c r="AQ61" s="13">
        <v>323</v>
      </c>
      <c r="AR61" s="13"/>
      <c r="AS61" s="13">
        <v>50</v>
      </c>
      <c r="AT61" s="57"/>
      <c r="AU61" s="13">
        <v>50</v>
      </c>
      <c r="AV61" s="57"/>
      <c r="AW61" s="5">
        <f t="shared" si="9"/>
        <v>2626</v>
      </c>
    </row>
    <row r="63" spans="1:49" x14ac:dyDescent="0.2">
      <c r="B63" s="2" t="s">
        <v>95</v>
      </c>
    </row>
  </sheetData>
  <sheetProtection sheet="1" objects="1" scenarios="1"/>
  <mergeCells count="6">
    <mergeCell ref="AQ3:AR3"/>
    <mergeCell ref="AS3:AT3"/>
    <mergeCell ref="AS4:AT4"/>
    <mergeCell ref="AQ4:AR4"/>
    <mergeCell ref="AU3:AV3"/>
    <mergeCell ref="AU4:AV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2DA7-5F5A-4E06-BE96-46C05DEA22D1}">
  <dimension ref="A1:DQ9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S47" sqref="S47"/>
    </sheetView>
  </sheetViews>
  <sheetFormatPr baseColWidth="10" defaultColWidth="9.1640625" defaultRowHeight="15" x14ac:dyDescent="0.2"/>
  <cols>
    <col min="1" max="1" width="9.1640625" style="91"/>
    <col min="2" max="2" width="34.33203125" style="97" bestFit="1" customWidth="1"/>
    <col min="3" max="3" width="18.6640625" style="91" bestFit="1" customWidth="1"/>
    <col min="4" max="4" width="12.83203125" style="91" customWidth="1"/>
    <col min="5" max="5" width="8.83203125" style="91" bestFit="1" customWidth="1"/>
    <col min="6" max="6" width="15" style="91" bestFit="1" customWidth="1"/>
    <col min="7" max="7" width="12.1640625" style="91" customWidth="1"/>
    <col min="8" max="8" width="16.33203125" style="92" bestFit="1" customWidth="1"/>
    <col min="9" max="9" width="11.1640625" style="91" bestFit="1" customWidth="1"/>
    <col min="10" max="10" width="17.6640625" style="160" bestFit="1" customWidth="1"/>
    <col min="11" max="11" width="12.6640625" style="98" bestFit="1" customWidth="1"/>
    <col min="12" max="12" width="17.6640625" style="91" customWidth="1"/>
    <col min="13" max="13" width="9.1640625" style="163"/>
    <col min="14" max="14" width="16" style="170" customWidth="1"/>
    <col min="15" max="15" width="9.1640625" style="163"/>
    <col min="16" max="16" width="17" style="170" customWidth="1"/>
    <col min="17" max="17" width="9.1640625" style="163"/>
    <col min="18" max="18" width="15.33203125" style="170" bestFit="1" customWidth="1"/>
    <col min="19" max="19" width="15.33203125" style="170" customWidth="1"/>
    <col min="20" max="20" width="54.6640625" style="101" bestFit="1" customWidth="1"/>
    <col min="21" max="16384" width="9.1640625" style="58"/>
  </cols>
  <sheetData>
    <row r="1" spans="1:20" s="86" customFormat="1" ht="16" x14ac:dyDescent="0.2">
      <c r="A1" s="394" t="s">
        <v>30</v>
      </c>
      <c r="B1" s="396" t="s">
        <v>96</v>
      </c>
      <c r="C1" s="391" t="s">
        <v>97</v>
      </c>
      <c r="D1" s="391" t="s">
        <v>98</v>
      </c>
      <c r="E1" s="391" t="s">
        <v>99</v>
      </c>
      <c r="F1" s="391" t="s">
        <v>100</v>
      </c>
      <c r="G1" s="391" t="s">
        <v>101</v>
      </c>
      <c r="H1" s="402" t="s">
        <v>102</v>
      </c>
      <c r="I1" s="391" t="s">
        <v>103</v>
      </c>
      <c r="J1" s="392" t="s">
        <v>104</v>
      </c>
      <c r="K1" s="398" t="s">
        <v>105</v>
      </c>
      <c r="L1" s="391" t="s">
        <v>106</v>
      </c>
      <c r="M1" s="391" t="s">
        <v>107</v>
      </c>
      <c r="N1" s="392"/>
      <c r="O1" s="391"/>
      <c r="P1" s="392"/>
      <c r="Q1" s="391"/>
      <c r="R1" s="392"/>
      <c r="S1" s="369" t="s">
        <v>108</v>
      </c>
      <c r="T1" s="400" t="s">
        <v>109</v>
      </c>
    </row>
    <row r="2" spans="1:20" s="86" customFormat="1" ht="16" x14ac:dyDescent="0.2">
      <c r="A2" s="395"/>
      <c r="B2" s="397"/>
      <c r="C2" s="389"/>
      <c r="D2" s="389"/>
      <c r="E2" s="389"/>
      <c r="F2" s="389"/>
      <c r="G2" s="389"/>
      <c r="H2" s="403"/>
      <c r="I2" s="397"/>
      <c r="J2" s="403"/>
      <c r="K2" s="399"/>
      <c r="L2" s="389"/>
      <c r="M2" s="393">
        <v>46023</v>
      </c>
      <c r="N2" s="393"/>
      <c r="O2" s="393">
        <v>46054</v>
      </c>
      <c r="P2" s="393"/>
      <c r="Q2" s="393">
        <v>46082</v>
      </c>
      <c r="R2" s="393"/>
      <c r="S2" s="370"/>
      <c r="T2" s="401"/>
    </row>
    <row r="3" spans="1:20" s="86" customFormat="1" ht="16" x14ac:dyDescent="0.2">
      <c r="A3" s="395"/>
      <c r="B3" s="397"/>
      <c r="C3" s="389"/>
      <c r="D3" s="389"/>
      <c r="E3" s="389"/>
      <c r="F3" s="389"/>
      <c r="G3" s="389"/>
      <c r="H3" s="403"/>
      <c r="I3" s="397"/>
      <c r="J3" s="403"/>
      <c r="K3" s="399"/>
      <c r="L3" s="389"/>
      <c r="M3" s="106" t="s">
        <v>34</v>
      </c>
      <c r="N3" s="279" t="s">
        <v>110</v>
      </c>
      <c r="O3" s="106" t="s">
        <v>34</v>
      </c>
      <c r="P3" s="279" t="s">
        <v>110</v>
      </c>
      <c r="Q3" s="106" t="s">
        <v>34</v>
      </c>
      <c r="R3" s="279" t="s">
        <v>110</v>
      </c>
      <c r="S3" s="371"/>
      <c r="T3" s="401"/>
    </row>
    <row r="4" spans="1:20" ht="16" x14ac:dyDescent="0.2">
      <c r="A4" s="147" t="s">
        <v>82</v>
      </c>
      <c r="B4" s="108">
        <v>45992</v>
      </c>
      <c r="C4" s="107"/>
      <c r="D4" s="107"/>
      <c r="E4" s="107"/>
      <c r="F4" s="107"/>
      <c r="G4" s="107"/>
      <c r="H4" s="109"/>
      <c r="I4" s="110"/>
      <c r="J4" s="109"/>
      <c r="K4" s="111"/>
      <c r="L4" s="109"/>
      <c r="M4" s="110"/>
      <c r="N4" s="280"/>
      <c r="O4" s="110"/>
      <c r="P4" s="280"/>
      <c r="Q4" s="110"/>
      <c r="R4" s="280"/>
      <c r="S4" s="372"/>
      <c r="T4" s="149"/>
    </row>
    <row r="5" spans="1:20" ht="16" x14ac:dyDescent="0.2">
      <c r="A5" s="183">
        <v>1</v>
      </c>
      <c r="B5" s="184" t="s">
        <v>9</v>
      </c>
      <c r="C5" s="185" t="s">
        <v>25</v>
      </c>
      <c r="D5" s="185" t="s">
        <v>111</v>
      </c>
      <c r="E5" s="185" t="s">
        <v>112</v>
      </c>
      <c r="F5" s="185" t="s">
        <v>113</v>
      </c>
      <c r="G5" s="186">
        <v>46027</v>
      </c>
      <c r="H5" s="187">
        <v>181530</v>
      </c>
      <c r="I5" s="188">
        <v>200</v>
      </c>
      <c r="J5" s="189">
        <f t="shared" ref="J5:J30" si="0">H5*I5</f>
        <v>36306000</v>
      </c>
      <c r="K5" s="190" t="s">
        <v>114</v>
      </c>
      <c r="L5" s="191"/>
      <c r="M5" s="185">
        <v>0</v>
      </c>
      <c r="N5" s="192">
        <f>M5*H5</f>
        <v>0</v>
      </c>
      <c r="O5" s="188">
        <v>0</v>
      </c>
      <c r="P5" s="193">
        <f>H5*O5</f>
        <v>0</v>
      </c>
      <c r="Q5" s="188">
        <v>0</v>
      </c>
      <c r="R5" s="193">
        <f>Q5*H5</f>
        <v>0</v>
      </c>
      <c r="S5" s="373"/>
      <c r="T5" s="282" t="s">
        <v>115</v>
      </c>
    </row>
    <row r="6" spans="1:20" s="226" customFormat="1" ht="16" x14ac:dyDescent="0.2">
      <c r="A6" s="290">
        <f>A5+1</f>
        <v>2</v>
      </c>
      <c r="B6" s="215" t="s">
        <v>9</v>
      </c>
      <c r="C6" s="216" t="s">
        <v>116</v>
      </c>
      <c r="D6" s="216" t="s">
        <v>111</v>
      </c>
      <c r="E6" s="216" t="s">
        <v>112</v>
      </c>
      <c r="F6" s="216" t="s">
        <v>117</v>
      </c>
      <c r="G6" s="217">
        <v>45992</v>
      </c>
      <c r="H6" s="218">
        <v>119454</v>
      </c>
      <c r="I6" s="219">
        <v>620</v>
      </c>
      <c r="J6" s="220">
        <f>H6*I6</f>
        <v>74061480</v>
      </c>
      <c r="K6" s="221" t="s">
        <v>118</v>
      </c>
      <c r="L6" s="222"/>
      <c r="M6" s="216">
        <v>0</v>
      </c>
      <c r="N6" s="223"/>
      <c r="O6" s="219">
        <v>620</v>
      </c>
      <c r="P6" s="225">
        <f>O6*H6</f>
        <v>74061480</v>
      </c>
      <c r="Q6" s="219">
        <v>50</v>
      </c>
      <c r="R6" s="225">
        <f>34425*Q6</f>
        <v>1721250</v>
      </c>
      <c r="S6" s="374"/>
      <c r="T6" s="235" t="s">
        <v>119</v>
      </c>
    </row>
    <row r="7" spans="1:20" s="226" customFormat="1" ht="16" x14ac:dyDescent="0.2">
      <c r="A7" s="290">
        <f t="shared" ref="A7:A42" si="1">A6+1</f>
        <v>3</v>
      </c>
      <c r="B7" s="215" t="s">
        <v>9</v>
      </c>
      <c r="C7" s="216" t="s">
        <v>116</v>
      </c>
      <c r="D7" s="216" t="s">
        <v>111</v>
      </c>
      <c r="E7" s="216" t="s">
        <v>112</v>
      </c>
      <c r="F7" s="216" t="s">
        <v>117</v>
      </c>
      <c r="G7" s="217">
        <v>45992</v>
      </c>
      <c r="H7" s="218">
        <v>11500</v>
      </c>
      <c r="I7" s="219">
        <v>620</v>
      </c>
      <c r="J7" s="220">
        <f>H7*I7</f>
        <v>7130000</v>
      </c>
      <c r="K7" s="221"/>
      <c r="L7" s="222"/>
      <c r="M7" s="216">
        <v>0</v>
      </c>
      <c r="N7" s="223"/>
      <c r="O7" s="216">
        <v>0</v>
      </c>
      <c r="P7" s="225"/>
      <c r="Q7" s="219">
        <v>620</v>
      </c>
      <c r="R7" s="225">
        <f t="shared" ref="R7:R12" si="2">Q7*H7</f>
        <v>7130000</v>
      </c>
      <c r="S7" s="374"/>
      <c r="T7" s="235" t="s">
        <v>120</v>
      </c>
    </row>
    <row r="8" spans="1:20" s="226" customFormat="1" ht="32" x14ac:dyDescent="0.2">
      <c r="A8" s="290">
        <f t="shared" si="1"/>
        <v>4</v>
      </c>
      <c r="B8" s="215" t="s">
        <v>11</v>
      </c>
      <c r="C8" s="216" t="s">
        <v>90</v>
      </c>
      <c r="D8" s="216" t="s">
        <v>111</v>
      </c>
      <c r="E8" s="216" t="s">
        <v>112</v>
      </c>
      <c r="F8" s="216" t="s">
        <v>121</v>
      </c>
      <c r="G8" s="217">
        <v>46023</v>
      </c>
      <c r="H8" s="218">
        <v>185700</v>
      </c>
      <c r="I8" s="219">
        <v>30</v>
      </c>
      <c r="J8" s="220">
        <f t="shared" si="0"/>
        <v>5571000</v>
      </c>
      <c r="K8" s="221" t="s">
        <v>118</v>
      </c>
      <c r="L8" s="222"/>
      <c r="M8" s="216">
        <v>15</v>
      </c>
      <c r="N8" s="223">
        <f>M8*H8</f>
        <v>2785500</v>
      </c>
      <c r="O8" s="224">
        <v>15</v>
      </c>
      <c r="P8" s="225">
        <f t="shared" ref="P8:P14" si="3">O8*H8</f>
        <v>2785500</v>
      </c>
      <c r="Q8" s="219">
        <v>0</v>
      </c>
      <c r="R8" s="225">
        <f t="shared" si="2"/>
        <v>0</v>
      </c>
      <c r="S8" s="374"/>
      <c r="T8" s="235" t="s">
        <v>122</v>
      </c>
    </row>
    <row r="9" spans="1:20" s="204" customFormat="1" x14ac:dyDescent="0.2">
      <c r="A9" s="290">
        <f t="shared" si="1"/>
        <v>5</v>
      </c>
      <c r="B9" s="205" t="s">
        <v>11</v>
      </c>
      <c r="C9" s="206" t="s">
        <v>90</v>
      </c>
      <c r="D9" s="206" t="s">
        <v>111</v>
      </c>
      <c r="E9" s="206" t="s">
        <v>112</v>
      </c>
      <c r="F9" s="206" t="s">
        <v>121</v>
      </c>
      <c r="G9" s="115">
        <v>46054</v>
      </c>
      <c r="H9" s="207">
        <v>185700</v>
      </c>
      <c r="I9" s="208">
        <v>45</v>
      </c>
      <c r="J9" s="209">
        <f t="shared" ref="J9" si="4">H9*I9</f>
        <v>8356500</v>
      </c>
      <c r="K9" s="210" t="s">
        <v>114</v>
      </c>
      <c r="L9" s="201"/>
      <c r="M9" s="117">
        <v>0</v>
      </c>
      <c r="N9" s="202">
        <f>H9*M9</f>
        <v>0</v>
      </c>
      <c r="O9" s="117">
        <v>0</v>
      </c>
      <c r="P9" s="203">
        <f t="shared" si="3"/>
        <v>0</v>
      </c>
      <c r="Q9" s="117">
        <v>45</v>
      </c>
      <c r="R9" s="203">
        <f t="shared" si="2"/>
        <v>8356500</v>
      </c>
      <c r="S9" s="375"/>
      <c r="T9" s="283"/>
    </row>
    <row r="10" spans="1:20" s="226" customFormat="1" x14ac:dyDescent="0.2">
      <c r="A10" s="290">
        <f t="shared" si="1"/>
        <v>6</v>
      </c>
      <c r="B10" s="227" t="s">
        <v>123</v>
      </c>
      <c r="C10" s="228" t="s">
        <v>26</v>
      </c>
      <c r="D10" s="216" t="s">
        <v>111</v>
      </c>
      <c r="E10" s="216" t="s">
        <v>112</v>
      </c>
      <c r="F10" s="216" t="s">
        <v>121</v>
      </c>
      <c r="G10" s="217">
        <v>46023</v>
      </c>
      <c r="H10" s="218">
        <v>185000</v>
      </c>
      <c r="I10" s="219">
        <v>22</v>
      </c>
      <c r="J10" s="220">
        <f>H10*I10</f>
        <v>4070000</v>
      </c>
      <c r="K10" s="221" t="s">
        <v>118</v>
      </c>
      <c r="L10" s="222"/>
      <c r="M10" s="216">
        <v>0</v>
      </c>
      <c r="N10" s="202">
        <f t="shared" ref="N10:N12" si="5">H10*M10</f>
        <v>0</v>
      </c>
      <c r="O10" s="224">
        <v>22</v>
      </c>
      <c r="P10" s="225">
        <f t="shared" si="3"/>
        <v>4070000</v>
      </c>
      <c r="Q10" s="219">
        <v>0</v>
      </c>
      <c r="R10" s="203">
        <f t="shared" si="2"/>
        <v>0</v>
      </c>
      <c r="S10" s="375"/>
      <c r="T10" s="235"/>
    </row>
    <row r="11" spans="1:20" ht="16" x14ac:dyDescent="0.2">
      <c r="A11" s="290">
        <f t="shared" si="1"/>
        <v>7</v>
      </c>
      <c r="B11" s="200" t="s">
        <v>14</v>
      </c>
      <c r="C11" s="113" t="s">
        <v>124</v>
      </c>
      <c r="D11" s="113" t="s">
        <v>111</v>
      </c>
      <c r="E11" s="113" t="s">
        <v>112</v>
      </c>
      <c r="F11" s="113" t="s">
        <v>121</v>
      </c>
      <c r="G11" s="115">
        <v>46054</v>
      </c>
      <c r="H11" s="116">
        <f>111000*0.985</f>
        <v>109335</v>
      </c>
      <c r="I11" s="117">
        <v>423</v>
      </c>
      <c r="J11" s="143">
        <f t="shared" si="0"/>
        <v>46248705</v>
      </c>
      <c r="K11" s="119" t="s">
        <v>114</v>
      </c>
      <c r="L11" s="118"/>
      <c r="M11" s="117">
        <v>0</v>
      </c>
      <c r="N11" s="202">
        <f t="shared" si="5"/>
        <v>0</v>
      </c>
      <c r="O11" s="117">
        <v>100</v>
      </c>
      <c r="P11" s="120">
        <f t="shared" si="3"/>
        <v>10933500</v>
      </c>
      <c r="Q11" s="117">
        <v>323</v>
      </c>
      <c r="R11" s="120">
        <f t="shared" si="2"/>
        <v>35315205</v>
      </c>
      <c r="S11" s="376"/>
      <c r="T11" s="284" t="s">
        <v>125</v>
      </c>
    </row>
    <row r="12" spans="1:20" s="226" customFormat="1" ht="16" x14ac:dyDescent="0.2">
      <c r="A12" s="290">
        <f t="shared" si="1"/>
        <v>8</v>
      </c>
      <c r="B12" s="229" t="s">
        <v>14</v>
      </c>
      <c r="C12" s="216" t="s">
        <v>124</v>
      </c>
      <c r="D12" s="216" t="s">
        <v>111</v>
      </c>
      <c r="E12" s="216" t="s">
        <v>112</v>
      </c>
      <c r="F12" s="216" t="s">
        <v>121</v>
      </c>
      <c r="G12" s="217">
        <v>46023</v>
      </c>
      <c r="H12" s="218">
        <f>111000*0.985</f>
        <v>109335</v>
      </c>
      <c r="I12" s="219">
        <v>2</v>
      </c>
      <c r="J12" s="220">
        <f t="shared" ref="J12" si="6">H12*I12</f>
        <v>218670</v>
      </c>
      <c r="K12" s="221" t="s">
        <v>114</v>
      </c>
      <c r="L12" s="222"/>
      <c r="M12" s="219">
        <v>0</v>
      </c>
      <c r="N12" s="202">
        <f t="shared" si="5"/>
        <v>0</v>
      </c>
      <c r="O12" s="219">
        <v>2</v>
      </c>
      <c r="P12" s="120">
        <f t="shared" si="3"/>
        <v>218670</v>
      </c>
      <c r="Q12" s="219">
        <v>0</v>
      </c>
      <c r="R12" s="120">
        <f t="shared" si="2"/>
        <v>0</v>
      </c>
      <c r="S12" s="376"/>
      <c r="T12" s="235" t="s">
        <v>126</v>
      </c>
    </row>
    <row r="13" spans="1:20" s="226" customFormat="1" ht="16" x14ac:dyDescent="0.2">
      <c r="A13" s="290">
        <f t="shared" si="1"/>
        <v>9</v>
      </c>
      <c r="B13" s="230" t="s">
        <v>127</v>
      </c>
      <c r="C13" s="216" t="s">
        <v>26</v>
      </c>
      <c r="D13" s="216" t="s">
        <v>111</v>
      </c>
      <c r="E13" s="216" t="s">
        <v>112</v>
      </c>
      <c r="F13" s="216" t="s">
        <v>121</v>
      </c>
      <c r="G13" s="217">
        <v>46023</v>
      </c>
      <c r="H13" s="218">
        <v>194000</v>
      </c>
      <c r="I13" s="219">
        <v>170</v>
      </c>
      <c r="J13" s="220">
        <f>H13*I13</f>
        <v>32980000</v>
      </c>
      <c r="K13" s="221" t="s">
        <v>118</v>
      </c>
      <c r="L13" s="222"/>
      <c r="M13" s="219">
        <v>50</v>
      </c>
      <c r="N13" s="202">
        <f>H13*M13</f>
        <v>9700000</v>
      </c>
      <c r="O13" s="219">
        <v>50</v>
      </c>
      <c r="P13" s="225">
        <f t="shared" si="3"/>
        <v>9700000</v>
      </c>
      <c r="Q13" s="219">
        <v>70</v>
      </c>
      <c r="R13" s="225">
        <f>Q13*H12</f>
        <v>7653450</v>
      </c>
      <c r="S13" s="374"/>
      <c r="T13" s="235" t="s">
        <v>128</v>
      </c>
    </row>
    <row r="14" spans="1:20" ht="16" x14ac:dyDescent="0.2">
      <c r="A14" s="290">
        <f t="shared" si="1"/>
        <v>10</v>
      </c>
      <c r="B14" s="114" t="s">
        <v>15</v>
      </c>
      <c r="C14" s="113" t="s">
        <v>129</v>
      </c>
      <c r="D14" s="113" t="s">
        <v>111</v>
      </c>
      <c r="E14" s="113" t="s">
        <v>112</v>
      </c>
      <c r="F14" s="113" t="s">
        <v>121</v>
      </c>
      <c r="G14" s="115">
        <v>46082</v>
      </c>
      <c r="H14" s="116">
        <v>112960</v>
      </c>
      <c r="I14" s="117">
        <v>50</v>
      </c>
      <c r="J14" s="143">
        <f t="shared" si="0"/>
        <v>5648000</v>
      </c>
      <c r="K14" s="119" t="s">
        <v>114</v>
      </c>
      <c r="L14" s="118"/>
      <c r="M14" s="113">
        <v>0</v>
      </c>
      <c r="N14" s="166">
        <f>M14*H14</f>
        <v>0</v>
      </c>
      <c r="O14" s="117">
        <v>0</v>
      </c>
      <c r="P14" s="120">
        <f t="shared" si="3"/>
        <v>0</v>
      </c>
      <c r="Q14" s="117">
        <v>50</v>
      </c>
      <c r="R14" s="120">
        <f t="shared" ref="R14:R41" si="7">Q14*H14</f>
        <v>5648000</v>
      </c>
      <c r="S14" s="376"/>
      <c r="T14" s="284" t="s">
        <v>130</v>
      </c>
    </row>
    <row r="15" spans="1:20" ht="16" x14ac:dyDescent="0.2">
      <c r="A15" s="290">
        <f t="shared" si="1"/>
        <v>11</v>
      </c>
      <c r="B15" s="114" t="s">
        <v>131</v>
      </c>
      <c r="C15" s="113" t="s">
        <v>132</v>
      </c>
      <c r="D15" s="113" t="s">
        <v>111</v>
      </c>
      <c r="E15" s="113" t="s">
        <v>112</v>
      </c>
      <c r="F15" s="113" t="s">
        <v>121</v>
      </c>
      <c r="G15" s="115">
        <v>45992</v>
      </c>
      <c r="H15" s="116">
        <v>204500</v>
      </c>
      <c r="I15" s="117">
        <v>450</v>
      </c>
      <c r="J15" s="143">
        <f>204500*I15</f>
        <v>92025000</v>
      </c>
      <c r="K15" s="119" t="s">
        <v>118</v>
      </c>
      <c r="L15" s="118"/>
      <c r="M15" s="117">
        <v>50</v>
      </c>
      <c r="N15" s="166">
        <f t="shared" ref="N15:N41" si="8">M15*H15</f>
        <v>10225000</v>
      </c>
      <c r="O15" s="117">
        <v>180</v>
      </c>
      <c r="P15" s="120">
        <f t="shared" ref="P15:P21" si="9">O15*H15</f>
        <v>36810000</v>
      </c>
      <c r="Q15" s="117">
        <v>200</v>
      </c>
      <c r="R15" s="120">
        <f t="shared" si="7"/>
        <v>40900000</v>
      </c>
      <c r="S15" s="376"/>
      <c r="T15" s="284" t="s">
        <v>133</v>
      </c>
    </row>
    <row r="16" spans="1:20" ht="16" x14ac:dyDescent="0.2">
      <c r="A16" s="290">
        <f t="shared" si="1"/>
        <v>12</v>
      </c>
      <c r="B16" s="114" t="s">
        <v>134</v>
      </c>
      <c r="C16" s="113" t="s">
        <v>135</v>
      </c>
      <c r="D16" s="113" t="s">
        <v>111</v>
      </c>
      <c r="E16" s="113" t="s">
        <v>136</v>
      </c>
      <c r="F16" s="113" t="s">
        <v>137</v>
      </c>
      <c r="G16" s="115"/>
      <c r="H16" s="116"/>
      <c r="I16" s="117"/>
      <c r="J16" s="143"/>
      <c r="K16" s="119" t="s">
        <v>118</v>
      </c>
      <c r="L16" s="118"/>
      <c r="M16" s="117"/>
      <c r="N16" s="166">
        <f t="shared" si="8"/>
        <v>0</v>
      </c>
      <c r="O16" s="121">
        <v>152</v>
      </c>
      <c r="P16" s="120">
        <f t="shared" si="9"/>
        <v>0</v>
      </c>
      <c r="Q16" s="113">
        <v>0</v>
      </c>
      <c r="R16" s="120">
        <f t="shared" si="7"/>
        <v>0</v>
      </c>
      <c r="S16" s="376"/>
      <c r="T16" s="284" t="s">
        <v>138</v>
      </c>
    </row>
    <row r="17" spans="1:20" ht="32" x14ac:dyDescent="0.2">
      <c r="A17" s="290">
        <f t="shared" si="1"/>
        <v>13</v>
      </c>
      <c r="B17" s="112" t="s">
        <v>139</v>
      </c>
      <c r="C17" s="113" t="s">
        <v>140</v>
      </c>
      <c r="D17" s="113" t="s">
        <v>141</v>
      </c>
      <c r="E17" s="113" t="s">
        <v>112</v>
      </c>
      <c r="F17" s="113" t="s">
        <v>121</v>
      </c>
      <c r="G17" s="115">
        <v>45931</v>
      </c>
      <c r="H17" s="123">
        <v>23900</v>
      </c>
      <c r="I17" s="113">
        <v>194</v>
      </c>
      <c r="J17" s="124">
        <f>H17*I17</f>
        <v>4636600</v>
      </c>
      <c r="K17" s="119" t="s">
        <v>118</v>
      </c>
      <c r="L17" s="122">
        <f>I17</f>
        <v>194</v>
      </c>
      <c r="M17" s="113">
        <v>164</v>
      </c>
      <c r="N17" s="166">
        <f t="shared" si="8"/>
        <v>3919600</v>
      </c>
      <c r="O17" s="113">
        <v>0</v>
      </c>
      <c r="P17" s="120">
        <f t="shared" si="9"/>
        <v>0</v>
      </c>
      <c r="Q17" s="113">
        <v>0</v>
      </c>
      <c r="R17" s="120">
        <f t="shared" si="7"/>
        <v>0</v>
      </c>
      <c r="S17" s="376"/>
      <c r="T17" s="149" t="s">
        <v>142</v>
      </c>
    </row>
    <row r="18" spans="1:20" ht="32" x14ac:dyDescent="0.2">
      <c r="A18" s="290">
        <f t="shared" si="1"/>
        <v>14</v>
      </c>
      <c r="B18" s="194" t="s">
        <v>143</v>
      </c>
      <c r="C18" s="195" t="s">
        <v>23</v>
      </c>
      <c r="D18" s="195" t="s">
        <v>141</v>
      </c>
      <c r="E18" s="195" t="s">
        <v>112</v>
      </c>
      <c r="F18" s="195" t="s">
        <v>144</v>
      </c>
      <c r="G18" s="196">
        <v>45931</v>
      </c>
      <c r="H18" s="197">
        <v>100000</v>
      </c>
      <c r="I18" s="195">
        <v>150</v>
      </c>
      <c r="J18" s="198">
        <f>H18*I18</f>
        <v>15000000</v>
      </c>
      <c r="K18" s="119" t="s">
        <v>118</v>
      </c>
      <c r="L18" s="122">
        <f>I18</f>
        <v>150</v>
      </c>
      <c r="M18" s="113">
        <v>0</v>
      </c>
      <c r="N18" s="166">
        <f t="shared" si="8"/>
        <v>0</v>
      </c>
      <c r="O18" s="113">
        <v>0</v>
      </c>
      <c r="P18" s="120">
        <f t="shared" si="9"/>
        <v>0</v>
      </c>
      <c r="Q18" s="113">
        <v>85</v>
      </c>
      <c r="R18" s="120">
        <f t="shared" si="7"/>
        <v>8500000</v>
      </c>
      <c r="S18" s="376"/>
      <c r="T18" s="149" t="s">
        <v>145</v>
      </c>
    </row>
    <row r="19" spans="1:20" ht="32" x14ac:dyDescent="0.2">
      <c r="A19" s="290">
        <f t="shared" si="1"/>
        <v>15</v>
      </c>
      <c r="B19" s="194" t="s">
        <v>146</v>
      </c>
      <c r="C19" s="195" t="s">
        <v>24</v>
      </c>
      <c r="D19" s="195" t="s">
        <v>141</v>
      </c>
      <c r="E19" s="195" t="s">
        <v>112</v>
      </c>
      <c r="F19" s="195" t="s">
        <v>144</v>
      </c>
      <c r="G19" s="196">
        <v>46054</v>
      </c>
      <c r="H19" s="197">
        <v>204000</v>
      </c>
      <c r="I19" s="195">
        <v>20</v>
      </c>
      <c r="J19" s="198">
        <f t="shared" si="0"/>
        <v>4080000</v>
      </c>
      <c r="K19" s="119" t="s">
        <v>118</v>
      </c>
      <c r="L19" s="122">
        <f>I19</f>
        <v>20</v>
      </c>
      <c r="M19" s="113">
        <v>0</v>
      </c>
      <c r="N19" s="166">
        <f t="shared" si="8"/>
        <v>0</v>
      </c>
      <c r="O19" s="113">
        <v>0</v>
      </c>
      <c r="P19" s="120">
        <f t="shared" si="9"/>
        <v>0</v>
      </c>
      <c r="Q19" s="113">
        <v>20</v>
      </c>
      <c r="R19" s="120">
        <f t="shared" si="7"/>
        <v>4080000</v>
      </c>
      <c r="S19" s="376"/>
      <c r="T19" s="149" t="s">
        <v>147</v>
      </c>
    </row>
    <row r="20" spans="1:20" ht="48" x14ac:dyDescent="0.2">
      <c r="A20" s="290">
        <f t="shared" si="1"/>
        <v>16</v>
      </c>
      <c r="B20" s="112" t="s">
        <v>148</v>
      </c>
      <c r="C20" s="113" t="s">
        <v>149</v>
      </c>
      <c r="D20" s="113" t="s">
        <v>141</v>
      </c>
      <c r="E20" s="113" t="s">
        <v>112</v>
      </c>
      <c r="F20" s="113" t="s">
        <v>121</v>
      </c>
      <c r="G20" s="115">
        <v>46023</v>
      </c>
      <c r="H20" s="123">
        <v>208055</v>
      </c>
      <c r="I20" s="113">
        <v>900</v>
      </c>
      <c r="J20" s="124">
        <f t="shared" si="0"/>
        <v>187249500</v>
      </c>
      <c r="K20" s="119" t="s">
        <v>114</v>
      </c>
      <c r="L20" s="122">
        <v>0</v>
      </c>
      <c r="M20" s="113">
        <v>0</v>
      </c>
      <c r="N20" s="166">
        <f t="shared" si="8"/>
        <v>0</v>
      </c>
      <c r="O20" s="113">
        <v>10</v>
      </c>
      <c r="P20" s="120">
        <f t="shared" si="9"/>
        <v>2080550</v>
      </c>
      <c r="Q20" s="113">
        <v>400</v>
      </c>
      <c r="R20" s="120">
        <f t="shared" si="7"/>
        <v>83222000</v>
      </c>
      <c r="S20" s="376"/>
      <c r="T20" s="149" t="s">
        <v>150</v>
      </c>
    </row>
    <row r="21" spans="1:20" ht="32" x14ac:dyDescent="0.2">
      <c r="A21" s="290">
        <f t="shared" si="1"/>
        <v>17</v>
      </c>
      <c r="B21" s="112" t="s">
        <v>143</v>
      </c>
      <c r="C21" s="113" t="s">
        <v>149</v>
      </c>
      <c r="D21" s="113" t="s">
        <v>141</v>
      </c>
      <c r="E21" s="113" t="s">
        <v>112</v>
      </c>
      <c r="F21" s="113" t="s">
        <v>121</v>
      </c>
      <c r="G21" s="115">
        <v>46023</v>
      </c>
      <c r="H21" s="123">
        <v>296000</v>
      </c>
      <c r="I21" s="113">
        <v>2100</v>
      </c>
      <c r="J21" s="124">
        <f>H21*I21</f>
        <v>621600000</v>
      </c>
      <c r="K21" s="119" t="s">
        <v>114</v>
      </c>
      <c r="L21" s="122">
        <v>0</v>
      </c>
      <c r="M21" s="113">
        <v>0</v>
      </c>
      <c r="N21" s="166">
        <f t="shared" si="8"/>
        <v>0</v>
      </c>
      <c r="O21" s="113">
        <v>100</v>
      </c>
      <c r="P21" s="120">
        <f t="shared" si="9"/>
        <v>29600000</v>
      </c>
      <c r="Q21" s="113">
        <v>350</v>
      </c>
      <c r="R21" s="120">
        <f t="shared" si="7"/>
        <v>103600000</v>
      </c>
      <c r="S21" s="376"/>
      <c r="T21" s="149" t="s">
        <v>151</v>
      </c>
    </row>
    <row r="22" spans="1:20" s="226" customFormat="1" ht="16" x14ac:dyDescent="0.2">
      <c r="A22" s="290">
        <f t="shared" si="1"/>
        <v>18</v>
      </c>
      <c r="B22" s="231" t="s">
        <v>152</v>
      </c>
      <c r="C22" s="216" t="s">
        <v>153</v>
      </c>
      <c r="D22" s="216" t="s">
        <v>141</v>
      </c>
      <c r="E22" s="216" t="s">
        <v>112</v>
      </c>
      <c r="F22" s="216" t="s">
        <v>121</v>
      </c>
      <c r="G22" s="217">
        <v>46023</v>
      </c>
      <c r="H22" s="232">
        <v>205000</v>
      </c>
      <c r="I22" s="216">
        <v>2</v>
      </c>
      <c r="J22" s="233">
        <f t="shared" si="0"/>
        <v>410000</v>
      </c>
      <c r="K22" s="221" t="s">
        <v>118</v>
      </c>
      <c r="L22" s="234">
        <v>0</v>
      </c>
      <c r="M22" s="216">
        <v>0</v>
      </c>
      <c r="N22" s="166">
        <f t="shared" si="8"/>
        <v>0</v>
      </c>
      <c r="O22" s="216">
        <v>2</v>
      </c>
      <c r="P22" s="223">
        <f>O22*H22</f>
        <v>410000</v>
      </c>
      <c r="Q22" s="216">
        <v>0</v>
      </c>
      <c r="R22" s="120">
        <f t="shared" si="7"/>
        <v>0</v>
      </c>
      <c r="S22" s="376"/>
      <c r="T22" s="235" t="s">
        <v>154</v>
      </c>
    </row>
    <row r="23" spans="1:20" ht="32" x14ac:dyDescent="0.2">
      <c r="A23" s="290">
        <f t="shared" si="1"/>
        <v>19</v>
      </c>
      <c r="B23" s="172" t="s">
        <v>143</v>
      </c>
      <c r="C23" s="173" t="s">
        <v>90</v>
      </c>
      <c r="D23" s="113" t="s">
        <v>141</v>
      </c>
      <c r="E23" s="113" t="s">
        <v>112</v>
      </c>
      <c r="F23" s="113" t="s">
        <v>121</v>
      </c>
      <c r="G23" s="115">
        <v>46054</v>
      </c>
      <c r="H23" s="123">
        <v>220000</v>
      </c>
      <c r="I23" s="113">
        <v>400</v>
      </c>
      <c r="J23" s="124">
        <f t="shared" si="0"/>
        <v>88000000</v>
      </c>
      <c r="K23" s="119" t="s">
        <v>114</v>
      </c>
      <c r="L23" s="122">
        <v>0</v>
      </c>
      <c r="M23" s="113">
        <v>0</v>
      </c>
      <c r="N23" s="166">
        <f t="shared" si="8"/>
        <v>0</v>
      </c>
      <c r="O23" s="113">
        <v>40</v>
      </c>
      <c r="P23" s="120">
        <f t="shared" ref="P23:P41" si="10">O23*H23</f>
        <v>8800000</v>
      </c>
      <c r="Q23" s="113">
        <v>60</v>
      </c>
      <c r="R23" s="120">
        <f t="shared" si="7"/>
        <v>13200000</v>
      </c>
      <c r="S23" s="376"/>
      <c r="T23" s="149" t="s">
        <v>155</v>
      </c>
    </row>
    <row r="24" spans="1:20" ht="16" x14ac:dyDescent="0.2">
      <c r="A24" s="290">
        <f t="shared" si="1"/>
        <v>20</v>
      </c>
      <c r="B24" s="112" t="s">
        <v>148</v>
      </c>
      <c r="C24" s="113" t="s">
        <v>90</v>
      </c>
      <c r="D24" s="171" t="s">
        <v>141</v>
      </c>
      <c r="E24" s="113" t="s">
        <v>112</v>
      </c>
      <c r="F24" s="113" t="s">
        <v>121</v>
      </c>
      <c r="G24" s="115">
        <v>46054</v>
      </c>
      <c r="H24" s="123">
        <v>220000</v>
      </c>
      <c r="I24" s="113">
        <v>600</v>
      </c>
      <c r="J24" s="124">
        <f t="shared" si="0"/>
        <v>132000000</v>
      </c>
      <c r="K24" s="119" t="s">
        <v>114</v>
      </c>
      <c r="L24" s="122">
        <v>0</v>
      </c>
      <c r="M24" s="113">
        <v>0</v>
      </c>
      <c r="N24" s="166">
        <f t="shared" si="8"/>
        <v>0</v>
      </c>
      <c r="O24" s="113">
        <v>0</v>
      </c>
      <c r="P24" s="120">
        <f t="shared" si="10"/>
        <v>0</v>
      </c>
      <c r="Q24" s="113">
        <v>0</v>
      </c>
      <c r="R24" s="120">
        <f t="shared" si="7"/>
        <v>0</v>
      </c>
      <c r="S24" s="376"/>
      <c r="T24" s="149" t="s">
        <v>156</v>
      </c>
    </row>
    <row r="25" spans="1:20" x14ac:dyDescent="0.2">
      <c r="A25" s="290">
        <f t="shared" si="1"/>
        <v>21</v>
      </c>
      <c r="B25" s="176" t="s">
        <v>157</v>
      </c>
      <c r="C25" s="176" t="s">
        <v>158</v>
      </c>
      <c r="D25" s="171" t="s">
        <v>141</v>
      </c>
      <c r="E25" s="113" t="s">
        <v>112</v>
      </c>
      <c r="F25" s="113" t="s">
        <v>121</v>
      </c>
      <c r="G25" s="115">
        <v>46023</v>
      </c>
      <c r="H25" s="123">
        <v>25000</v>
      </c>
      <c r="I25" s="113">
        <v>100</v>
      </c>
      <c r="J25" s="124">
        <f t="shared" si="0"/>
        <v>2500000</v>
      </c>
      <c r="K25" s="119" t="s">
        <v>114</v>
      </c>
      <c r="L25" s="122">
        <v>0</v>
      </c>
      <c r="M25" s="113">
        <v>0</v>
      </c>
      <c r="N25" s="166">
        <f t="shared" si="8"/>
        <v>0</v>
      </c>
      <c r="O25" s="113">
        <v>0</v>
      </c>
      <c r="P25" s="120">
        <f t="shared" si="10"/>
        <v>0</v>
      </c>
      <c r="Q25" s="113">
        <v>1</v>
      </c>
      <c r="R25" s="120">
        <f t="shared" si="7"/>
        <v>25000</v>
      </c>
      <c r="S25" s="376"/>
      <c r="T25" s="149"/>
    </row>
    <row r="26" spans="1:20" ht="16" x14ac:dyDescent="0.2">
      <c r="A26" s="290">
        <f t="shared" si="1"/>
        <v>22</v>
      </c>
      <c r="B26" s="174" t="s">
        <v>148</v>
      </c>
      <c r="C26" s="175" t="s">
        <v>159</v>
      </c>
      <c r="D26" s="113" t="s">
        <v>141</v>
      </c>
      <c r="E26" s="113" t="s">
        <v>112</v>
      </c>
      <c r="F26" s="113" t="s">
        <v>121</v>
      </c>
      <c r="G26" s="115">
        <v>46054</v>
      </c>
      <c r="H26" s="123">
        <v>170000</v>
      </c>
      <c r="I26" s="113">
        <v>644</v>
      </c>
      <c r="J26" s="124">
        <f t="shared" si="0"/>
        <v>109480000</v>
      </c>
      <c r="K26" s="119" t="s">
        <v>114</v>
      </c>
      <c r="L26" s="122">
        <v>0</v>
      </c>
      <c r="M26" s="113">
        <v>0</v>
      </c>
      <c r="N26" s="166">
        <f t="shared" si="8"/>
        <v>0</v>
      </c>
      <c r="O26" s="113">
        <v>0</v>
      </c>
      <c r="P26" s="120">
        <f t="shared" si="10"/>
        <v>0</v>
      </c>
      <c r="Q26" s="113">
        <v>0</v>
      </c>
      <c r="R26" s="120">
        <f t="shared" si="7"/>
        <v>0</v>
      </c>
      <c r="S26" s="376"/>
      <c r="T26" s="149" t="s">
        <v>160</v>
      </c>
    </row>
    <row r="27" spans="1:20" ht="16" x14ac:dyDescent="0.2">
      <c r="A27" s="290">
        <f t="shared" si="1"/>
        <v>23</v>
      </c>
      <c r="B27" s="112" t="s">
        <v>148</v>
      </c>
      <c r="C27" s="113" t="s">
        <v>161</v>
      </c>
      <c r="D27" s="113" t="s">
        <v>141</v>
      </c>
      <c r="E27" s="113" t="s">
        <v>112</v>
      </c>
      <c r="F27" s="113" t="s">
        <v>121</v>
      </c>
      <c r="G27" s="115">
        <v>46082</v>
      </c>
      <c r="H27" s="123">
        <v>255000</v>
      </c>
      <c r="I27" s="113">
        <v>100</v>
      </c>
      <c r="J27" s="124">
        <f t="shared" si="0"/>
        <v>25500000</v>
      </c>
      <c r="K27" s="119" t="s">
        <v>114</v>
      </c>
      <c r="L27" s="122">
        <v>0</v>
      </c>
      <c r="M27" s="113">
        <v>0</v>
      </c>
      <c r="N27" s="166">
        <f t="shared" si="8"/>
        <v>0</v>
      </c>
      <c r="O27" s="113">
        <v>0</v>
      </c>
      <c r="P27" s="120">
        <f t="shared" si="10"/>
        <v>0</v>
      </c>
      <c r="Q27" s="113">
        <v>0</v>
      </c>
      <c r="R27" s="120">
        <f t="shared" si="7"/>
        <v>0</v>
      </c>
      <c r="S27" s="376"/>
      <c r="T27" s="149" t="s">
        <v>160</v>
      </c>
    </row>
    <row r="28" spans="1:20" ht="16" x14ac:dyDescent="0.2">
      <c r="A28" s="290">
        <f t="shared" si="1"/>
        <v>24</v>
      </c>
      <c r="B28" s="112" t="s">
        <v>157</v>
      </c>
      <c r="C28" s="113" t="s">
        <v>162</v>
      </c>
      <c r="D28" s="113" t="s">
        <v>141</v>
      </c>
      <c r="E28" s="113" t="s">
        <v>112</v>
      </c>
      <c r="F28" s="113" t="s">
        <v>121</v>
      </c>
      <c r="G28" s="115">
        <v>46082</v>
      </c>
      <c r="H28" s="123">
        <v>216000</v>
      </c>
      <c r="I28" s="113">
        <v>2</v>
      </c>
      <c r="J28" s="124">
        <f t="shared" si="0"/>
        <v>432000</v>
      </c>
      <c r="K28" s="119" t="s">
        <v>118</v>
      </c>
      <c r="L28" s="122">
        <v>2</v>
      </c>
      <c r="M28" s="113">
        <v>0</v>
      </c>
      <c r="N28" s="166">
        <f t="shared" si="8"/>
        <v>0</v>
      </c>
      <c r="O28" s="113">
        <v>0</v>
      </c>
      <c r="P28" s="120">
        <f t="shared" si="10"/>
        <v>0</v>
      </c>
      <c r="Q28" s="113">
        <v>1</v>
      </c>
      <c r="R28" s="120">
        <f t="shared" si="7"/>
        <v>216000</v>
      </c>
      <c r="S28" s="376"/>
      <c r="T28" s="149" t="s">
        <v>163</v>
      </c>
    </row>
    <row r="29" spans="1:20" ht="16" x14ac:dyDescent="0.2">
      <c r="A29" s="290">
        <f t="shared" si="1"/>
        <v>25</v>
      </c>
      <c r="B29" s="112" t="s">
        <v>148</v>
      </c>
      <c r="C29" s="113" t="s">
        <v>164</v>
      </c>
      <c r="D29" s="113" t="s">
        <v>141</v>
      </c>
      <c r="E29" s="113" t="s">
        <v>112</v>
      </c>
      <c r="F29" s="113" t="s">
        <v>121</v>
      </c>
      <c r="G29" s="115">
        <v>46082</v>
      </c>
      <c r="H29" s="123">
        <v>321000</v>
      </c>
      <c r="I29" s="113">
        <v>300</v>
      </c>
      <c r="J29" s="124">
        <f t="shared" si="0"/>
        <v>96300000</v>
      </c>
      <c r="K29" s="119" t="s">
        <v>114</v>
      </c>
      <c r="L29" s="122">
        <v>0</v>
      </c>
      <c r="M29" s="113">
        <v>0</v>
      </c>
      <c r="N29" s="166">
        <f t="shared" si="8"/>
        <v>0</v>
      </c>
      <c r="O29" s="113">
        <v>0</v>
      </c>
      <c r="P29" s="120">
        <f t="shared" si="10"/>
        <v>0</v>
      </c>
      <c r="Q29" s="113">
        <v>0</v>
      </c>
      <c r="R29" s="120">
        <f t="shared" si="7"/>
        <v>0</v>
      </c>
      <c r="S29" s="376"/>
      <c r="T29" s="149" t="s">
        <v>160</v>
      </c>
    </row>
    <row r="30" spans="1:20" ht="16" x14ac:dyDescent="0.2">
      <c r="A30" s="290">
        <f t="shared" si="1"/>
        <v>26</v>
      </c>
      <c r="B30" s="112" t="s">
        <v>165</v>
      </c>
      <c r="C30" s="113" t="s">
        <v>153</v>
      </c>
      <c r="D30" s="113" t="s">
        <v>141</v>
      </c>
      <c r="E30" s="113" t="s">
        <v>112</v>
      </c>
      <c r="F30" s="113" t="s">
        <v>121</v>
      </c>
      <c r="G30" s="115">
        <v>46082</v>
      </c>
      <c r="H30" s="123">
        <v>205000</v>
      </c>
      <c r="I30" s="113">
        <v>2</v>
      </c>
      <c r="J30" s="124">
        <f t="shared" si="0"/>
        <v>410000</v>
      </c>
      <c r="K30" s="119" t="s">
        <v>114</v>
      </c>
      <c r="L30" s="122">
        <v>0</v>
      </c>
      <c r="M30" s="113">
        <v>0</v>
      </c>
      <c r="N30" s="166">
        <f t="shared" si="8"/>
        <v>0</v>
      </c>
      <c r="O30" s="113">
        <v>0</v>
      </c>
      <c r="P30" s="120">
        <f t="shared" si="10"/>
        <v>0</v>
      </c>
      <c r="Q30" s="113">
        <v>2</v>
      </c>
      <c r="R30" s="120">
        <f t="shared" si="7"/>
        <v>410000</v>
      </c>
      <c r="S30" s="376"/>
      <c r="T30" s="149" t="s">
        <v>166</v>
      </c>
    </row>
    <row r="31" spans="1:20" x14ac:dyDescent="0.2">
      <c r="A31" s="290">
        <f t="shared" si="1"/>
        <v>27</v>
      </c>
      <c r="B31" s="112" t="s">
        <v>3</v>
      </c>
      <c r="C31" s="113" t="s">
        <v>167</v>
      </c>
      <c r="D31" s="113" t="s">
        <v>168</v>
      </c>
      <c r="E31" s="113" t="s">
        <v>112</v>
      </c>
      <c r="F31" s="113" t="s">
        <v>121</v>
      </c>
      <c r="G31" s="115">
        <v>46054</v>
      </c>
      <c r="H31" s="123">
        <v>172295</v>
      </c>
      <c r="I31" s="113">
        <v>200</v>
      </c>
      <c r="J31" s="124">
        <f>I31*H31</f>
        <v>34459000</v>
      </c>
      <c r="K31" s="119" t="s">
        <v>114</v>
      </c>
      <c r="L31" s="122">
        <v>0</v>
      </c>
      <c r="M31" s="113">
        <v>0</v>
      </c>
      <c r="N31" s="166">
        <f t="shared" si="8"/>
        <v>0</v>
      </c>
      <c r="O31" s="117">
        <v>100</v>
      </c>
      <c r="P31" s="120">
        <f t="shared" si="10"/>
        <v>17229500</v>
      </c>
      <c r="Q31" s="117">
        <v>100</v>
      </c>
      <c r="R31" s="120">
        <f t="shared" si="7"/>
        <v>17229500</v>
      </c>
      <c r="S31" s="376"/>
      <c r="T31" s="149"/>
    </row>
    <row r="32" spans="1:20" x14ac:dyDescent="0.2">
      <c r="A32" s="290">
        <f t="shared" si="1"/>
        <v>28</v>
      </c>
      <c r="B32" s="112" t="s">
        <v>3</v>
      </c>
      <c r="C32" s="113" t="s">
        <v>169</v>
      </c>
      <c r="D32" s="113" t="s">
        <v>168</v>
      </c>
      <c r="E32" s="113" t="s">
        <v>112</v>
      </c>
      <c r="F32" s="113" t="s">
        <v>121</v>
      </c>
      <c r="G32" s="115">
        <v>46054</v>
      </c>
      <c r="H32" s="123">
        <v>179295</v>
      </c>
      <c r="I32" s="113">
        <v>200</v>
      </c>
      <c r="J32" s="124">
        <f t="shared" ref="J32:J40" si="11">I32*H32</f>
        <v>35859000</v>
      </c>
      <c r="K32" s="119" t="s">
        <v>114</v>
      </c>
      <c r="L32" s="122">
        <v>0</v>
      </c>
      <c r="M32" s="113">
        <v>0</v>
      </c>
      <c r="N32" s="166">
        <f t="shared" si="8"/>
        <v>0</v>
      </c>
      <c r="O32" s="117">
        <v>100</v>
      </c>
      <c r="P32" s="120">
        <f t="shared" si="10"/>
        <v>17929500</v>
      </c>
      <c r="Q32" s="117">
        <v>100</v>
      </c>
      <c r="R32" s="120">
        <f t="shared" si="7"/>
        <v>17929500</v>
      </c>
      <c r="S32" s="376"/>
      <c r="T32" s="149"/>
    </row>
    <row r="33" spans="1:20" x14ac:dyDescent="0.2">
      <c r="A33" s="290">
        <f t="shared" si="1"/>
        <v>29</v>
      </c>
      <c r="B33" s="112" t="s">
        <v>3</v>
      </c>
      <c r="C33" s="113" t="s">
        <v>20</v>
      </c>
      <c r="D33" s="113" t="s">
        <v>168</v>
      </c>
      <c r="E33" s="113" t="s">
        <v>112</v>
      </c>
      <c r="F33" s="113" t="s">
        <v>121</v>
      </c>
      <c r="G33" s="115">
        <v>45992</v>
      </c>
      <c r="H33" s="123">
        <v>148065</v>
      </c>
      <c r="I33" s="113">
        <v>20</v>
      </c>
      <c r="J33" s="124">
        <f t="shared" si="11"/>
        <v>2961300</v>
      </c>
      <c r="K33" s="119" t="s">
        <v>118</v>
      </c>
      <c r="L33" s="122">
        <v>70</v>
      </c>
      <c r="M33" s="117">
        <v>20</v>
      </c>
      <c r="N33" s="166">
        <f t="shared" si="8"/>
        <v>2961300</v>
      </c>
      <c r="O33" s="113">
        <v>50</v>
      </c>
      <c r="P33" s="120">
        <f t="shared" si="10"/>
        <v>7403250</v>
      </c>
      <c r="Q33" s="113">
        <v>0</v>
      </c>
      <c r="R33" s="120">
        <f t="shared" si="7"/>
        <v>0</v>
      </c>
      <c r="S33" s="376"/>
      <c r="T33" s="149"/>
    </row>
    <row r="34" spans="1:20" s="226" customFormat="1" ht="16" x14ac:dyDescent="0.2">
      <c r="A34" s="290">
        <f t="shared" si="1"/>
        <v>30</v>
      </c>
      <c r="B34" s="231" t="s">
        <v>170</v>
      </c>
      <c r="C34" s="216" t="s">
        <v>171</v>
      </c>
      <c r="D34" s="216" t="s">
        <v>168</v>
      </c>
      <c r="E34" s="216" t="s">
        <v>112</v>
      </c>
      <c r="F34" s="216" t="s">
        <v>172</v>
      </c>
      <c r="G34" s="217">
        <v>46023</v>
      </c>
      <c r="H34" s="286">
        <v>24400</v>
      </c>
      <c r="I34" s="216">
        <v>200</v>
      </c>
      <c r="J34" s="287">
        <f t="shared" si="11"/>
        <v>4880000</v>
      </c>
      <c r="K34" s="288" t="s">
        <v>118</v>
      </c>
      <c r="L34" s="289">
        <v>200</v>
      </c>
      <c r="M34" s="216">
        <v>0</v>
      </c>
      <c r="N34" s="223">
        <f t="shared" si="8"/>
        <v>0</v>
      </c>
      <c r="O34" s="219">
        <v>200</v>
      </c>
      <c r="P34" s="225">
        <f t="shared" si="10"/>
        <v>4880000</v>
      </c>
      <c r="Q34" s="216">
        <v>0</v>
      </c>
      <c r="R34" s="225">
        <f t="shared" si="7"/>
        <v>0</v>
      </c>
      <c r="S34" s="374"/>
      <c r="T34" s="235" t="s">
        <v>173</v>
      </c>
    </row>
    <row r="35" spans="1:20" x14ac:dyDescent="0.2">
      <c r="A35" s="290">
        <f t="shared" si="1"/>
        <v>31</v>
      </c>
      <c r="B35" s="112" t="s">
        <v>3</v>
      </c>
      <c r="C35" s="113" t="s">
        <v>174</v>
      </c>
      <c r="D35" s="113" t="s">
        <v>168</v>
      </c>
      <c r="E35" s="113" t="s">
        <v>112</v>
      </c>
      <c r="F35" s="113" t="s">
        <v>175</v>
      </c>
      <c r="G35" s="115">
        <v>45992</v>
      </c>
      <c r="H35" s="123">
        <v>90925</v>
      </c>
      <c r="I35" s="113">
        <v>25</v>
      </c>
      <c r="J35" s="124">
        <f t="shared" si="11"/>
        <v>2273125</v>
      </c>
      <c r="K35" s="119" t="s">
        <v>118</v>
      </c>
      <c r="L35" s="122">
        <v>8</v>
      </c>
      <c r="M35" s="117">
        <v>25</v>
      </c>
      <c r="N35" s="166">
        <f t="shared" si="8"/>
        <v>2273125</v>
      </c>
      <c r="O35" s="113">
        <v>0</v>
      </c>
      <c r="P35" s="120">
        <f t="shared" si="10"/>
        <v>0</v>
      </c>
      <c r="Q35" s="113">
        <v>0</v>
      </c>
      <c r="R35" s="120">
        <f t="shared" si="7"/>
        <v>0</v>
      </c>
      <c r="S35" s="376"/>
      <c r="T35" s="149"/>
    </row>
    <row r="36" spans="1:20" x14ac:dyDescent="0.2">
      <c r="A36" s="290">
        <f t="shared" si="1"/>
        <v>32</v>
      </c>
      <c r="B36" s="112" t="s">
        <v>3</v>
      </c>
      <c r="C36" s="113" t="s">
        <v>174</v>
      </c>
      <c r="D36" s="113" t="s">
        <v>168</v>
      </c>
      <c r="E36" s="113" t="s">
        <v>112</v>
      </c>
      <c r="F36" s="113" t="s">
        <v>121</v>
      </c>
      <c r="G36" s="115">
        <v>46023</v>
      </c>
      <c r="H36" s="123">
        <v>90925</v>
      </c>
      <c r="I36" s="113">
        <v>25</v>
      </c>
      <c r="J36" s="124">
        <f t="shared" si="11"/>
        <v>2273125</v>
      </c>
      <c r="K36" s="119" t="s">
        <v>114</v>
      </c>
      <c r="L36" s="122">
        <v>0</v>
      </c>
      <c r="M36" s="113">
        <v>0</v>
      </c>
      <c r="N36" s="166">
        <f t="shared" si="8"/>
        <v>0</v>
      </c>
      <c r="O36" s="117">
        <v>25</v>
      </c>
      <c r="P36" s="120">
        <f t="shared" si="10"/>
        <v>2273125</v>
      </c>
      <c r="Q36" s="113">
        <v>0</v>
      </c>
      <c r="R36" s="120">
        <f t="shared" si="7"/>
        <v>0</v>
      </c>
      <c r="S36" s="376"/>
      <c r="T36" s="149"/>
    </row>
    <row r="37" spans="1:20" x14ac:dyDescent="0.2">
      <c r="A37" s="290">
        <f t="shared" si="1"/>
        <v>33</v>
      </c>
      <c r="B37" s="125" t="s">
        <v>3</v>
      </c>
      <c r="C37" s="113" t="s">
        <v>167</v>
      </c>
      <c r="D37" s="113" t="s">
        <v>168</v>
      </c>
      <c r="E37" s="113" t="s">
        <v>112</v>
      </c>
      <c r="F37" s="113" t="s">
        <v>121</v>
      </c>
      <c r="G37" s="115">
        <v>45962</v>
      </c>
      <c r="H37" s="123">
        <v>172295</v>
      </c>
      <c r="I37" s="113">
        <v>150</v>
      </c>
      <c r="J37" s="124">
        <f t="shared" si="11"/>
        <v>25844250</v>
      </c>
      <c r="K37" s="119" t="s">
        <v>118</v>
      </c>
      <c r="L37" s="122">
        <v>150</v>
      </c>
      <c r="M37" s="117">
        <v>0</v>
      </c>
      <c r="N37" s="166">
        <f t="shared" si="8"/>
        <v>0</v>
      </c>
      <c r="O37" s="126">
        <v>0</v>
      </c>
      <c r="P37" s="120">
        <f t="shared" si="10"/>
        <v>0</v>
      </c>
      <c r="Q37" s="126">
        <v>150</v>
      </c>
      <c r="R37" s="120">
        <f t="shared" si="7"/>
        <v>25844250</v>
      </c>
      <c r="S37" s="376"/>
      <c r="T37" s="149"/>
    </row>
    <row r="38" spans="1:20" x14ac:dyDescent="0.2">
      <c r="A38" s="290">
        <f t="shared" si="1"/>
        <v>34</v>
      </c>
      <c r="B38" s="112" t="s">
        <v>3</v>
      </c>
      <c r="C38" s="113" t="s">
        <v>169</v>
      </c>
      <c r="D38" s="113" t="s">
        <v>168</v>
      </c>
      <c r="E38" s="113" t="s">
        <v>112</v>
      </c>
      <c r="F38" s="113" t="s">
        <v>121</v>
      </c>
      <c r="G38" s="115">
        <v>45962</v>
      </c>
      <c r="H38" s="123">
        <v>179295</v>
      </c>
      <c r="I38" s="113">
        <v>105</v>
      </c>
      <c r="J38" s="124">
        <f t="shared" si="11"/>
        <v>18825975</v>
      </c>
      <c r="K38" s="119" t="s">
        <v>118</v>
      </c>
      <c r="L38" s="122">
        <v>105</v>
      </c>
      <c r="M38" s="126">
        <v>80</v>
      </c>
      <c r="N38" s="166">
        <f t="shared" si="8"/>
        <v>14343600</v>
      </c>
      <c r="O38" s="126">
        <v>25</v>
      </c>
      <c r="P38" s="120">
        <f t="shared" si="10"/>
        <v>4482375</v>
      </c>
      <c r="Q38" s="113">
        <v>0</v>
      </c>
      <c r="R38" s="120">
        <f t="shared" si="7"/>
        <v>0</v>
      </c>
      <c r="S38" s="376"/>
      <c r="T38" s="149"/>
    </row>
    <row r="39" spans="1:20" x14ac:dyDescent="0.2">
      <c r="A39" s="290">
        <f t="shared" si="1"/>
        <v>35</v>
      </c>
      <c r="B39" s="112" t="s">
        <v>3</v>
      </c>
      <c r="C39" s="113" t="s">
        <v>21</v>
      </c>
      <c r="D39" s="113" t="s">
        <v>168</v>
      </c>
      <c r="E39" s="113" t="s">
        <v>176</v>
      </c>
      <c r="F39" s="113" t="s">
        <v>121</v>
      </c>
      <c r="G39" s="115">
        <v>45901</v>
      </c>
      <c r="H39" s="123">
        <v>225865</v>
      </c>
      <c r="I39" s="113">
        <v>25</v>
      </c>
      <c r="J39" s="124">
        <f t="shared" si="11"/>
        <v>5646625</v>
      </c>
      <c r="K39" s="119" t="s">
        <v>118</v>
      </c>
      <c r="L39" s="122">
        <v>25</v>
      </c>
      <c r="M39" s="126">
        <v>11</v>
      </c>
      <c r="N39" s="166">
        <f t="shared" si="8"/>
        <v>2484515</v>
      </c>
      <c r="O39" s="113">
        <v>0</v>
      </c>
      <c r="P39" s="120">
        <f t="shared" si="10"/>
        <v>0</v>
      </c>
      <c r="Q39" s="113">
        <v>0</v>
      </c>
      <c r="R39" s="120">
        <f t="shared" si="7"/>
        <v>0</v>
      </c>
      <c r="S39" s="376"/>
      <c r="T39" s="149"/>
    </row>
    <row r="40" spans="1:20" x14ac:dyDescent="0.2">
      <c r="A40" s="290">
        <f t="shared" si="1"/>
        <v>36</v>
      </c>
      <c r="B40" s="240" t="s">
        <v>177</v>
      </c>
      <c r="C40" s="113" t="s">
        <v>171</v>
      </c>
      <c r="D40" s="113"/>
      <c r="E40" s="113" t="s">
        <v>112</v>
      </c>
      <c r="F40" s="113" t="s">
        <v>172</v>
      </c>
      <c r="G40" s="115">
        <v>46054</v>
      </c>
      <c r="H40" s="116">
        <v>24500</v>
      </c>
      <c r="I40" s="117">
        <v>25</v>
      </c>
      <c r="J40" s="118">
        <f t="shared" si="11"/>
        <v>612500</v>
      </c>
      <c r="K40" s="119" t="s">
        <v>114</v>
      </c>
      <c r="L40" s="118"/>
      <c r="M40" s="117"/>
      <c r="N40" s="166">
        <f t="shared" si="8"/>
        <v>0</v>
      </c>
      <c r="O40" s="117">
        <v>25</v>
      </c>
      <c r="P40" s="120">
        <f t="shared" si="10"/>
        <v>612500</v>
      </c>
      <c r="Q40" s="113">
        <v>0</v>
      </c>
      <c r="R40" s="120">
        <f t="shared" si="7"/>
        <v>0</v>
      </c>
      <c r="S40" s="376"/>
      <c r="T40" s="149"/>
    </row>
    <row r="41" spans="1:20" x14ac:dyDescent="0.2">
      <c r="A41" s="290">
        <f t="shared" si="1"/>
        <v>37</v>
      </c>
      <c r="B41" s="112" t="s">
        <v>5</v>
      </c>
      <c r="C41" s="127" t="s">
        <v>178</v>
      </c>
      <c r="D41" s="127" t="s">
        <v>141</v>
      </c>
      <c r="E41" s="127" t="s">
        <v>112</v>
      </c>
      <c r="F41" s="127" t="s">
        <v>121</v>
      </c>
      <c r="G41" s="128">
        <v>46082</v>
      </c>
      <c r="H41" s="123">
        <v>293005</v>
      </c>
      <c r="I41" s="113"/>
      <c r="J41" s="124"/>
      <c r="K41" s="119"/>
      <c r="L41" s="122"/>
      <c r="M41" s="113"/>
      <c r="N41" s="166">
        <f t="shared" si="8"/>
        <v>0</v>
      </c>
      <c r="O41" s="113"/>
      <c r="P41" s="120">
        <f t="shared" si="10"/>
        <v>0</v>
      </c>
      <c r="Q41" s="113"/>
      <c r="R41" s="120">
        <f t="shared" si="7"/>
        <v>0</v>
      </c>
      <c r="S41" s="376"/>
      <c r="T41" s="149"/>
    </row>
    <row r="42" spans="1:20" x14ac:dyDescent="0.2">
      <c r="A42" s="290">
        <f t="shared" si="1"/>
        <v>38</v>
      </c>
      <c r="B42" s="112" t="s">
        <v>179</v>
      </c>
      <c r="C42" s="127"/>
      <c r="D42" s="127" t="s">
        <v>168</v>
      </c>
      <c r="E42" s="127" t="s">
        <v>112</v>
      </c>
      <c r="F42" s="127" t="s">
        <v>180</v>
      </c>
      <c r="G42" s="128">
        <v>46079</v>
      </c>
      <c r="H42" s="123">
        <v>20400</v>
      </c>
      <c r="I42" s="113">
        <v>15</v>
      </c>
      <c r="J42" s="124">
        <f>H42*I42</f>
        <v>306000</v>
      </c>
      <c r="K42" s="119" t="s">
        <v>118</v>
      </c>
      <c r="L42" s="122">
        <v>15</v>
      </c>
      <c r="M42" s="113"/>
      <c r="N42" s="166"/>
      <c r="O42" s="113">
        <v>15</v>
      </c>
      <c r="P42" s="120">
        <f>O42*H42</f>
        <v>306000</v>
      </c>
      <c r="Q42" s="113"/>
      <c r="R42" s="120"/>
      <c r="S42" s="376"/>
      <c r="T42" s="149"/>
    </row>
    <row r="43" spans="1:20" x14ac:dyDescent="0.2">
      <c r="A43" s="148"/>
      <c r="B43" s="129" t="s">
        <v>181</v>
      </c>
      <c r="C43" s="113"/>
      <c r="D43" s="113"/>
      <c r="E43" s="113"/>
      <c r="F43" s="113"/>
      <c r="G43" s="113"/>
      <c r="H43" s="117"/>
      <c r="I43" s="117"/>
      <c r="J43" s="130">
        <f>SUM(J5:J40)</f>
        <v>1733848355</v>
      </c>
      <c r="K43" s="131"/>
      <c r="L43" s="132"/>
      <c r="M43" s="133">
        <f t="shared" ref="M43:R43" si="12">SUM(M5:M40)</f>
        <v>415</v>
      </c>
      <c r="N43" s="281">
        <f>SUM(N5:N41)</f>
        <v>48692640</v>
      </c>
      <c r="O43" s="133">
        <f t="shared" si="12"/>
        <v>1818</v>
      </c>
      <c r="P43" s="281">
        <f t="shared" si="12"/>
        <v>234279950</v>
      </c>
      <c r="Q43" s="133">
        <f t="shared" si="12"/>
        <v>2627</v>
      </c>
      <c r="R43" s="281">
        <f t="shared" si="12"/>
        <v>380980655</v>
      </c>
      <c r="S43" s="377"/>
      <c r="T43" s="149"/>
    </row>
    <row r="44" spans="1:20" ht="16" x14ac:dyDescent="0.2">
      <c r="A44" s="148"/>
      <c r="B44" s="134">
        <v>46023</v>
      </c>
      <c r="C44" s="113"/>
      <c r="D44" s="113"/>
      <c r="E44" s="113"/>
      <c r="F44" s="113"/>
      <c r="G44" s="115"/>
      <c r="H44" s="116"/>
      <c r="I44" s="114"/>
      <c r="J44" s="118"/>
      <c r="K44" s="119"/>
      <c r="L44" s="118"/>
      <c r="M44" s="117"/>
      <c r="N44" s="120"/>
      <c r="O44" s="117"/>
      <c r="P44" s="120"/>
      <c r="Q44" s="117"/>
      <c r="R44" s="120"/>
      <c r="S44" s="376"/>
      <c r="T44" s="149"/>
    </row>
    <row r="45" spans="1:20" x14ac:dyDescent="0.2">
      <c r="A45" s="148"/>
      <c r="B45" s="114"/>
      <c r="C45" s="113"/>
      <c r="D45" s="113"/>
      <c r="E45" s="113"/>
      <c r="F45" s="113"/>
      <c r="G45" s="115"/>
      <c r="H45" s="116"/>
      <c r="I45" s="114"/>
      <c r="J45" s="118">
        <v>1</v>
      </c>
      <c r="K45" s="119"/>
      <c r="L45" s="118"/>
      <c r="M45" s="117"/>
      <c r="N45" s="120"/>
      <c r="O45" s="117"/>
      <c r="P45" s="120"/>
      <c r="Q45" s="117"/>
      <c r="R45" s="120"/>
      <c r="S45" s="376"/>
      <c r="T45" s="149"/>
    </row>
    <row r="46" spans="1:20" s="91" customFormat="1" ht="32" x14ac:dyDescent="0.2">
      <c r="A46" s="148">
        <v>1</v>
      </c>
      <c r="B46" s="112" t="s">
        <v>5</v>
      </c>
      <c r="C46" s="113" t="s">
        <v>178</v>
      </c>
      <c r="D46" s="113" t="s">
        <v>141</v>
      </c>
      <c r="E46" s="113" t="s">
        <v>112</v>
      </c>
      <c r="F46" s="113" t="s">
        <v>121</v>
      </c>
      <c r="G46" s="115">
        <v>46082</v>
      </c>
      <c r="H46" s="123">
        <v>293005</v>
      </c>
      <c r="I46" s="113"/>
      <c r="J46" s="124"/>
      <c r="K46" s="119"/>
      <c r="L46" s="122"/>
      <c r="M46" s="135"/>
      <c r="N46" s="161"/>
      <c r="O46" s="135"/>
      <c r="P46" s="161"/>
      <c r="Q46" s="135"/>
      <c r="R46" s="162"/>
      <c r="S46" s="378"/>
      <c r="T46" s="149" t="s">
        <v>182</v>
      </c>
    </row>
    <row r="47" spans="1:20" s="91" customFormat="1" ht="16" x14ac:dyDescent="0.2">
      <c r="A47" s="148">
        <v>2</v>
      </c>
      <c r="B47" s="112" t="s">
        <v>183</v>
      </c>
      <c r="C47" s="113" t="s">
        <v>184</v>
      </c>
      <c r="D47" s="113" t="s">
        <v>141</v>
      </c>
      <c r="E47" s="113" t="s">
        <v>112</v>
      </c>
      <c r="F47" s="113" t="s">
        <v>121</v>
      </c>
      <c r="G47" s="115">
        <v>46174</v>
      </c>
      <c r="H47" s="123">
        <v>250000</v>
      </c>
      <c r="I47" s="113">
        <v>5000</v>
      </c>
      <c r="J47" s="142">
        <f>I47*H47</f>
        <v>1250000000</v>
      </c>
      <c r="K47" s="119" t="s">
        <v>114</v>
      </c>
      <c r="L47" s="122"/>
      <c r="M47" s="135"/>
      <c r="N47" s="161"/>
      <c r="O47" s="135"/>
      <c r="P47" s="161"/>
      <c r="Q47" s="135"/>
      <c r="R47" s="162"/>
      <c r="S47" s="378"/>
      <c r="T47" s="149" t="s">
        <v>185</v>
      </c>
    </row>
    <row r="48" spans="1:20" s="91" customFormat="1" ht="16" x14ac:dyDescent="0.2">
      <c r="A48" s="148"/>
      <c r="B48" s="136"/>
      <c r="C48" s="113"/>
      <c r="D48" s="113"/>
      <c r="E48" s="113"/>
      <c r="F48" s="113"/>
    </row>
    <row r="49" spans="1:121" s="91" customFormat="1" ht="19" x14ac:dyDescent="0.2">
      <c r="A49" s="148"/>
      <c r="B49" s="137" t="s">
        <v>186</v>
      </c>
      <c r="C49" s="138" t="s">
        <v>187</v>
      </c>
      <c r="D49" s="113"/>
      <c r="E49" s="113"/>
      <c r="F49" s="113"/>
      <c r="G49" s="115"/>
      <c r="H49" s="123"/>
      <c r="I49" s="113"/>
      <c r="J49" s="142"/>
      <c r="K49" s="119"/>
      <c r="L49" s="122"/>
      <c r="M49" s="135"/>
      <c r="N49" s="161"/>
      <c r="O49" s="135"/>
      <c r="P49" s="161"/>
      <c r="Q49" s="135"/>
      <c r="R49" s="162"/>
      <c r="S49" s="378"/>
      <c r="T49" s="149"/>
    </row>
    <row r="50" spans="1:121" s="91" customFormat="1" ht="16" x14ac:dyDescent="0.2">
      <c r="A50" s="148"/>
      <c r="B50" s="139">
        <v>46023</v>
      </c>
      <c r="C50" s="113"/>
      <c r="D50" s="113"/>
      <c r="E50" s="113"/>
      <c r="F50" s="113"/>
      <c r="G50" s="115"/>
      <c r="H50" s="123"/>
      <c r="I50" s="113"/>
      <c r="J50" s="142"/>
      <c r="K50" s="119"/>
      <c r="L50" s="122"/>
      <c r="M50" s="135"/>
      <c r="N50" s="161"/>
      <c r="O50" s="135"/>
      <c r="P50" s="161"/>
      <c r="Q50" s="135"/>
      <c r="R50" s="162"/>
      <c r="S50" s="378"/>
      <c r="T50" s="149"/>
    </row>
    <row r="51" spans="1:121" s="86" customFormat="1" ht="16" x14ac:dyDescent="0.2">
      <c r="A51" s="146" t="s">
        <v>30</v>
      </c>
      <c r="B51" s="140" t="s">
        <v>96</v>
      </c>
      <c r="C51" s="104" t="s">
        <v>97</v>
      </c>
      <c r="D51" s="104" t="s">
        <v>98</v>
      </c>
      <c r="E51" s="104" t="s">
        <v>99</v>
      </c>
      <c r="F51" s="104" t="s">
        <v>100</v>
      </c>
      <c r="G51" s="104" t="s">
        <v>101</v>
      </c>
      <c r="H51" s="141" t="s">
        <v>102</v>
      </c>
      <c r="I51" s="104" t="s">
        <v>103</v>
      </c>
      <c r="J51" s="159" t="s">
        <v>104</v>
      </c>
      <c r="K51" s="105" t="s">
        <v>105</v>
      </c>
      <c r="L51" s="104" t="s">
        <v>106</v>
      </c>
      <c r="M51" s="389" t="s">
        <v>188</v>
      </c>
      <c r="N51" s="390"/>
      <c r="O51" s="389"/>
      <c r="P51" s="390"/>
      <c r="Q51" s="389"/>
      <c r="R51" s="390"/>
      <c r="S51" s="379"/>
      <c r="T51" s="150"/>
    </row>
    <row r="52" spans="1:121" s="91" customFormat="1" x14ac:dyDescent="0.2">
      <c r="A52" s="148">
        <v>1</v>
      </c>
      <c r="B52" s="112" t="s">
        <v>3</v>
      </c>
      <c r="C52" s="113" t="s">
        <v>167</v>
      </c>
      <c r="D52" s="113" t="s">
        <v>168</v>
      </c>
      <c r="E52" s="113" t="s">
        <v>112</v>
      </c>
      <c r="F52" s="113" t="s">
        <v>121</v>
      </c>
      <c r="G52" s="115">
        <v>46023</v>
      </c>
      <c r="H52" s="142">
        <v>172295</v>
      </c>
      <c r="I52" s="113">
        <v>225</v>
      </c>
      <c r="J52" s="142">
        <f>H52*I52</f>
        <v>38766375</v>
      </c>
      <c r="K52" s="119" t="s">
        <v>118</v>
      </c>
      <c r="L52" s="122">
        <v>75</v>
      </c>
      <c r="M52" s="135"/>
      <c r="N52" s="161"/>
      <c r="O52" s="135"/>
      <c r="P52" s="161"/>
      <c r="Q52" s="135"/>
      <c r="R52" s="162"/>
      <c r="S52" s="378"/>
      <c r="T52" s="149"/>
    </row>
    <row r="53" spans="1:121" s="91" customFormat="1" x14ac:dyDescent="0.2">
      <c r="A53" s="148">
        <f>A52+1</f>
        <v>2</v>
      </c>
      <c r="B53" s="112" t="s">
        <v>3</v>
      </c>
      <c r="C53" s="113" t="s">
        <v>169</v>
      </c>
      <c r="D53" s="113" t="s">
        <v>168</v>
      </c>
      <c r="E53" s="113" t="s">
        <v>112</v>
      </c>
      <c r="F53" s="113" t="s">
        <v>121</v>
      </c>
      <c r="G53" s="115">
        <v>46023</v>
      </c>
      <c r="H53" s="142">
        <v>179295</v>
      </c>
      <c r="I53" s="113">
        <v>100</v>
      </c>
      <c r="J53" s="142">
        <f t="shared" ref="J53:J62" si="13">H53*I53</f>
        <v>17929500</v>
      </c>
      <c r="K53" s="119" t="s">
        <v>114</v>
      </c>
      <c r="L53" s="122">
        <v>0</v>
      </c>
      <c r="M53" s="135"/>
      <c r="N53" s="161"/>
      <c r="O53" s="135"/>
      <c r="P53" s="161"/>
      <c r="Q53" s="135"/>
      <c r="R53" s="162"/>
      <c r="S53" s="378"/>
      <c r="T53" s="149"/>
    </row>
    <row r="54" spans="1:121" s="91" customFormat="1" x14ac:dyDescent="0.2">
      <c r="A54" s="148">
        <f t="shared" ref="A54:A61" si="14">A53+1</f>
        <v>3</v>
      </c>
      <c r="B54" s="112" t="s">
        <v>3</v>
      </c>
      <c r="C54" s="113" t="s">
        <v>20</v>
      </c>
      <c r="D54" s="113" t="s">
        <v>168</v>
      </c>
      <c r="E54" s="113" t="s">
        <v>112</v>
      </c>
      <c r="F54" s="113" t="s">
        <v>121</v>
      </c>
      <c r="G54" s="115">
        <v>46023</v>
      </c>
      <c r="H54" s="142">
        <v>148065</v>
      </c>
      <c r="I54" s="113">
        <f>75+20</f>
        <v>95</v>
      </c>
      <c r="J54" s="142">
        <f t="shared" si="13"/>
        <v>14066175</v>
      </c>
      <c r="K54" s="119" t="s">
        <v>118</v>
      </c>
      <c r="L54" s="122">
        <v>75</v>
      </c>
      <c r="M54" s="135"/>
      <c r="N54" s="161"/>
      <c r="O54" s="135"/>
      <c r="P54" s="161"/>
      <c r="Q54" s="135"/>
      <c r="R54" s="162"/>
      <c r="S54" s="378"/>
      <c r="T54" s="149"/>
    </row>
    <row r="55" spans="1:121" x14ac:dyDescent="0.2">
      <c r="A55" s="148">
        <f t="shared" si="14"/>
        <v>4</v>
      </c>
      <c r="B55" s="112" t="s">
        <v>3</v>
      </c>
      <c r="C55" s="113" t="s">
        <v>21</v>
      </c>
      <c r="D55" s="113" t="s">
        <v>168</v>
      </c>
      <c r="E55" s="113" t="s">
        <v>112</v>
      </c>
      <c r="F55" s="113" t="s">
        <v>121</v>
      </c>
      <c r="G55" s="115">
        <v>46023</v>
      </c>
      <c r="H55" s="142">
        <v>225865</v>
      </c>
      <c r="I55" s="113">
        <f>75</f>
        <v>75</v>
      </c>
      <c r="J55" s="142">
        <f t="shared" si="13"/>
        <v>16939875</v>
      </c>
      <c r="K55" s="119" t="s">
        <v>118</v>
      </c>
      <c r="L55" s="122">
        <v>25</v>
      </c>
      <c r="M55" s="135"/>
      <c r="N55" s="165"/>
      <c r="O55" s="135"/>
      <c r="P55" s="165"/>
      <c r="Q55" s="135"/>
      <c r="R55" s="166"/>
      <c r="S55" s="380"/>
      <c r="T55" s="149"/>
    </row>
    <row r="56" spans="1:121" s="93" customFormat="1" x14ac:dyDescent="0.2">
      <c r="A56" s="148">
        <f t="shared" si="14"/>
        <v>5</v>
      </c>
      <c r="B56" s="112" t="s">
        <v>3</v>
      </c>
      <c r="C56" s="113" t="s">
        <v>174</v>
      </c>
      <c r="D56" s="113" t="s">
        <v>168</v>
      </c>
      <c r="E56" s="113" t="s">
        <v>112</v>
      </c>
      <c r="F56" s="113" t="s">
        <v>121</v>
      </c>
      <c r="G56" s="115">
        <v>46023</v>
      </c>
      <c r="H56" s="142">
        <v>90925</v>
      </c>
      <c r="I56" s="113">
        <v>25</v>
      </c>
      <c r="J56" s="142">
        <f t="shared" si="13"/>
        <v>2273125</v>
      </c>
      <c r="K56" s="119" t="s">
        <v>114</v>
      </c>
      <c r="L56" s="122">
        <v>0</v>
      </c>
      <c r="M56" s="115"/>
      <c r="N56" s="162"/>
      <c r="O56" s="115"/>
      <c r="P56" s="162"/>
      <c r="Q56" s="115"/>
      <c r="R56" s="162"/>
      <c r="S56" s="378"/>
      <c r="T56" s="285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  <c r="DQ56" s="103"/>
    </row>
    <row r="57" spans="1:121" x14ac:dyDescent="0.2">
      <c r="A57" s="148">
        <f t="shared" si="14"/>
        <v>6</v>
      </c>
      <c r="B57" s="112" t="s">
        <v>5</v>
      </c>
      <c r="C57" s="113" t="s">
        <v>149</v>
      </c>
      <c r="D57" s="113" t="s">
        <v>141</v>
      </c>
      <c r="E57" s="113" t="s">
        <v>112</v>
      </c>
      <c r="F57" s="113" t="s">
        <v>121</v>
      </c>
      <c r="G57" s="115">
        <v>46023</v>
      </c>
      <c r="H57" s="142">
        <v>208055</v>
      </c>
      <c r="I57" s="113">
        <v>900</v>
      </c>
      <c r="J57" s="142">
        <f t="shared" si="13"/>
        <v>187249500</v>
      </c>
      <c r="K57" s="119" t="s">
        <v>114</v>
      </c>
      <c r="L57" s="122">
        <v>0</v>
      </c>
      <c r="M57" s="135"/>
      <c r="N57" s="165"/>
      <c r="O57" s="135"/>
      <c r="P57" s="165"/>
      <c r="Q57" s="135"/>
      <c r="R57" s="166"/>
      <c r="S57" s="380"/>
      <c r="T57" s="149"/>
    </row>
    <row r="58" spans="1:121" x14ac:dyDescent="0.2">
      <c r="A58" s="258">
        <f t="shared" si="14"/>
        <v>7</v>
      </c>
      <c r="B58" s="259" t="s">
        <v>4</v>
      </c>
      <c r="C58" s="260" t="s">
        <v>149</v>
      </c>
      <c r="D58" s="260" t="s">
        <v>141</v>
      </c>
      <c r="E58" s="260" t="s">
        <v>112</v>
      </c>
      <c r="F58" s="260" t="s">
        <v>121</v>
      </c>
      <c r="G58" s="261">
        <v>46023</v>
      </c>
      <c r="H58" s="262">
        <v>295000</v>
      </c>
      <c r="I58" s="260">
        <v>2100</v>
      </c>
      <c r="J58" s="262">
        <f t="shared" si="13"/>
        <v>619500000</v>
      </c>
      <c r="K58" s="263" t="s">
        <v>118</v>
      </c>
      <c r="L58" s="122">
        <v>0</v>
      </c>
      <c r="M58" s="135"/>
      <c r="N58" s="165"/>
      <c r="O58" s="135"/>
      <c r="P58" s="165"/>
      <c r="Q58" s="135"/>
      <c r="R58" s="166"/>
      <c r="S58" s="380"/>
      <c r="T58" s="149"/>
    </row>
    <row r="59" spans="1:121" x14ac:dyDescent="0.2">
      <c r="A59" s="183">
        <f t="shared" si="14"/>
        <v>8</v>
      </c>
      <c r="B59" s="184" t="s">
        <v>9</v>
      </c>
      <c r="C59" s="185" t="s">
        <v>25</v>
      </c>
      <c r="D59" s="185" t="s">
        <v>111</v>
      </c>
      <c r="E59" s="185" t="s">
        <v>112</v>
      </c>
      <c r="F59" s="185" t="s">
        <v>121</v>
      </c>
      <c r="G59" s="186">
        <v>46023</v>
      </c>
      <c r="H59" s="189">
        <v>181530</v>
      </c>
      <c r="I59" s="188">
        <v>200</v>
      </c>
      <c r="J59" s="199">
        <f t="shared" si="13"/>
        <v>36306000</v>
      </c>
      <c r="K59" s="190" t="s">
        <v>114</v>
      </c>
      <c r="L59" s="122">
        <v>0</v>
      </c>
      <c r="M59" s="135"/>
      <c r="N59" s="165"/>
      <c r="O59" s="135"/>
      <c r="P59" s="165"/>
      <c r="Q59" s="135"/>
      <c r="R59" s="166"/>
      <c r="S59" s="380"/>
      <c r="T59" s="149"/>
    </row>
    <row r="60" spans="1:121" s="226" customFormat="1" x14ac:dyDescent="0.2">
      <c r="A60" s="214">
        <f>A83+1</f>
        <v>10</v>
      </c>
      <c r="B60" s="231" t="s">
        <v>152</v>
      </c>
      <c r="C60" s="216" t="s">
        <v>153</v>
      </c>
      <c r="D60" s="216" t="s">
        <v>141</v>
      </c>
      <c r="E60" s="216" t="s">
        <v>112</v>
      </c>
      <c r="F60" s="216" t="s">
        <v>121</v>
      </c>
      <c r="G60" s="217">
        <v>46023</v>
      </c>
      <c r="H60" s="236">
        <f>H22</f>
        <v>205000</v>
      </c>
      <c r="I60" s="216">
        <v>2</v>
      </c>
      <c r="J60" s="236">
        <f t="shared" si="13"/>
        <v>410000</v>
      </c>
      <c r="K60" s="221" t="s">
        <v>118</v>
      </c>
      <c r="L60" s="234">
        <v>0</v>
      </c>
      <c r="M60" s="237"/>
      <c r="N60" s="238"/>
      <c r="O60" s="237"/>
      <c r="P60" s="238"/>
      <c r="Q60" s="237"/>
      <c r="R60" s="223"/>
      <c r="S60" s="381"/>
      <c r="T60" s="235"/>
    </row>
    <row r="61" spans="1:121" s="226" customFormat="1" x14ac:dyDescent="0.2">
      <c r="A61" s="214">
        <f t="shared" si="14"/>
        <v>11</v>
      </c>
      <c r="B61" s="231" t="s">
        <v>170</v>
      </c>
      <c r="C61" s="216" t="s">
        <v>171</v>
      </c>
      <c r="D61" s="216" t="s">
        <v>168</v>
      </c>
      <c r="E61" s="216" t="s">
        <v>112</v>
      </c>
      <c r="F61" s="216" t="s">
        <v>172</v>
      </c>
      <c r="G61" s="217">
        <v>46023</v>
      </c>
      <c r="H61" s="236">
        <v>24400</v>
      </c>
      <c r="I61" s="216">
        <v>200</v>
      </c>
      <c r="J61" s="236">
        <f t="shared" si="13"/>
        <v>4880000</v>
      </c>
      <c r="K61" s="221" t="s">
        <v>118</v>
      </c>
      <c r="L61" s="234">
        <v>0</v>
      </c>
      <c r="M61" s="237"/>
      <c r="N61" s="238"/>
      <c r="O61" s="237"/>
      <c r="P61" s="238"/>
      <c r="Q61" s="237"/>
      <c r="R61" s="223"/>
      <c r="S61" s="381"/>
      <c r="T61" s="235"/>
    </row>
    <row r="62" spans="1:121" s="226" customFormat="1" x14ac:dyDescent="0.2">
      <c r="A62" s="214">
        <f>A61+1</f>
        <v>12</v>
      </c>
      <c r="B62" s="230" t="s">
        <v>127</v>
      </c>
      <c r="C62" s="216" t="s">
        <v>26</v>
      </c>
      <c r="D62" s="239" t="s">
        <v>111</v>
      </c>
      <c r="E62" s="216" t="s">
        <v>112</v>
      </c>
      <c r="F62" s="216" t="s">
        <v>121</v>
      </c>
      <c r="G62" s="217">
        <v>46023</v>
      </c>
      <c r="H62" s="218">
        <v>194000</v>
      </c>
      <c r="I62" s="219">
        <v>170</v>
      </c>
      <c r="J62" s="236">
        <f t="shared" si="13"/>
        <v>32980000</v>
      </c>
      <c r="K62" s="221" t="s">
        <v>118</v>
      </c>
      <c r="L62" s="234">
        <v>0</v>
      </c>
      <c r="M62" s="237"/>
      <c r="N62" s="238"/>
      <c r="O62" s="237"/>
      <c r="P62" s="238"/>
      <c r="Q62" s="237"/>
      <c r="R62" s="223"/>
      <c r="S62" s="381"/>
      <c r="T62" s="235"/>
    </row>
    <row r="63" spans="1:121" s="226" customFormat="1" x14ac:dyDescent="0.2">
      <c r="A63" s="214">
        <f>A62+1</f>
        <v>13</v>
      </c>
      <c r="B63" s="230" t="s">
        <v>11</v>
      </c>
      <c r="C63" s="216" t="s">
        <v>90</v>
      </c>
      <c r="D63" s="216" t="s">
        <v>111</v>
      </c>
      <c r="E63" s="216" t="s">
        <v>112</v>
      </c>
      <c r="F63" s="216" t="s">
        <v>121</v>
      </c>
      <c r="G63" s="217">
        <v>46023</v>
      </c>
      <c r="H63" s="218">
        <v>185700</v>
      </c>
      <c r="I63" s="219">
        <v>30</v>
      </c>
      <c r="J63" s="236">
        <f>H63*I63</f>
        <v>5571000</v>
      </c>
      <c r="K63" s="221" t="s">
        <v>118</v>
      </c>
      <c r="L63" s="234">
        <v>0</v>
      </c>
      <c r="M63" s="216"/>
      <c r="N63" s="223"/>
      <c r="O63" s="216"/>
      <c r="P63" s="223"/>
      <c r="Q63" s="216"/>
      <c r="R63" s="223"/>
      <c r="S63" s="381"/>
      <c r="T63" s="235"/>
    </row>
    <row r="64" spans="1:121" s="226" customFormat="1" x14ac:dyDescent="0.2">
      <c r="A64" s="214">
        <f>A63+1</f>
        <v>14</v>
      </c>
      <c r="B64" s="230" t="s">
        <v>14</v>
      </c>
      <c r="C64" s="216" t="s">
        <v>124</v>
      </c>
      <c r="D64" s="239" t="s">
        <v>111</v>
      </c>
      <c r="E64" s="216" t="s">
        <v>112</v>
      </c>
      <c r="F64" s="216" t="s">
        <v>121</v>
      </c>
      <c r="G64" s="217">
        <v>46023</v>
      </c>
      <c r="H64" s="218">
        <v>111000</v>
      </c>
      <c r="I64" s="219">
        <v>2</v>
      </c>
      <c r="J64" s="236">
        <f t="shared" ref="J64" si="15">H64*I64</f>
        <v>222000</v>
      </c>
      <c r="K64" s="221" t="s">
        <v>118</v>
      </c>
      <c r="L64" s="234">
        <v>0</v>
      </c>
      <c r="M64" s="216"/>
      <c r="N64" s="223"/>
      <c r="O64" s="216"/>
      <c r="P64" s="223"/>
      <c r="Q64" s="216"/>
      <c r="R64" s="223"/>
      <c r="S64" s="381"/>
      <c r="T64" s="235"/>
    </row>
    <row r="65" spans="1:20" x14ac:dyDescent="0.2">
      <c r="A65" s="148"/>
      <c r="B65" s="144" t="s">
        <v>189</v>
      </c>
      <c r="C65" s="113"/>
      <c r="D65" s="113"/>
      <c r="E65" s="113"/>
      <c r="F65" s="113"/>
      <c r="G65" s="115"/>
      <c r="H65" s="123"/>
      <c r="I65" s="113"/>
      <c r="J65" s="256">
        <f>SUM(J52:J62)</f>
        <v>971300550</v>
      </c>
      <c r="K65" s="119"/>
      <c r="L65" s="122"/>
      <c r="M65" s="164">
        <f t="shared" ref="M65:R65" si="16">SUM(M45:M58)</f>
        <v>0</v>
      </c>
      <c r="N65" s="167">
        <f t="shared" si="16"/>
        <v>0</v>
      </c>
      <c r="O65" s="164">
        <f t="shared" si="16"/>
        <v>0</v>
      </c>
      <c r="P65" s="167">
        <f t="shared" si="16"/>
        <v>0</v>
      </c>
      <c r="Q65" s="164">
        <f t="shared" si="16"/>
        <v>0</v>
      </c>
      <c r="R65" s="167">
        <f t="shared" si="16"/>
        <v>0</v>
      </c>
      <c r="S65" s="382"/>
      <c r="T65" s="149"/>
    </row>
    <row r="66" spans="1:20" ht="16" x14ac:dyDescent="0.2">
      <c r="A66" s="148"/>
      <c r="B66" s="139">
        <v>46054</v>
      </c>
      <c r="C66" s="113"/>
      <c r="D66" s="113"/>
      <c r="E66" s="113"/>
      <c r="F66" s="113"/>
      <c r="G66" s="115"/>
      <c r="H66" s="123"/>
      <c r="I66" s="113"/>
      <c r="J66" s="142"/>
      <c r="K66" s="119"/>
      <c r="L66" s="122"/>
      <c r="M66" s="113"/>
      <c r="N66" s="166"/>
      <c r="O66" s="113"/>
      <c r="P66" s="166"/>
      <c r="Q66" s="113"/>
      <c r="R66" s="166"/>
      <c r="S66" s="380"/>
      <c r="T66" s="149"/>
    </row>
    <row r="67" spans="1:20" x14ac:dyDescent="0.2">
      <c r="A67" s="148">
        <v>1</v>
      </c>
      <c r="B67" s="114" t="s">
        <v>14</v>
      </c>
      <c r="C67" s="113" t="s">
        <v>124</v>
      </c>
      <c r="D67" s="145" t="s">
        <v>111</v>
      </c>
      <c r="E67" s="113" t="s">
        <v>112</v>
      </c>
      <c r="F67" s="113" t="s">
        <v>121</v>
      </c>
      <c r="G67" s="115">
        <v>46054</v>
      </c>
      <c r="H67" s="116">
        <v>111000</v>
      </c>
      <c r="I67" s="117">
        <v>423</v>
      </c>
      <c r="J67" s="142">
        <f t="shared" ref="J67:J74" si="17">H67*I67</f>
        <v>46953000</v>
      </c>
      <c r="K67" s="119" t="s">
        <v>114</v>
      </c>
      <c r="L67" s="122">
        <v>0</v>
      </c>
      <c r="M67" s="113"/>
      <c r="N67" s="166"/>
      <c r="O67" s="113"/>
      <c r="P67" s="166"/>
      <c r="Q67" s="113"/>
      <c r="R67" s="166"/>
      <c r="S67" s="380"/>
      <c r="T67" s="149"/>
    </row>
    <row r="68" spans="1:20" x14ac:dyDescent="0.2">
      <c r="A68" s="148">
        <v>2</v>
      </c>
      <c r="B68" s="112" t="s">
        <v>146</v>
      </c>
      <c r="C68" s="113" t="s">
        <v>24</v>
      </c>
      <c r="D68" s="145" t="s">
        <v>141</v>
      </c>
      <c r="E68" s="113" t="s">
        <v>112</v>
      </c>
      <c r="F68" s="113" t="s">
        <v>144</v>
      </c>
      <c r="G68" s="115">
        <v>46054</v>
      </c>
      <c r="H68" s="123">
        <v>204000</v>
      </c>
      <c r="I68" s="113">
        <v>20</v>
      </c>
      <c r="J68" s="142">
        <f t="shared" si="17"/>
        <v>4080000</v>
      </c>
      <c r="K68" s="119" t="s">
        <v>114</v>
      </c>
      <c r="L68" s="122">
        <v>0</v>
      </c>
      <c r="M68" s="135"/>
      <c r="N68" s="165"/>
      <c r="O68" s="135"/>
      <c r="P68" s="165"/>
      <c r="Q68" s="135"/>
      <c r="R68" s="166"/>
      <c r="S68" s="380"/>
      <c r="T68" s="149"/>
    </row>
    <row r="69" spans="1:20" x14ac:dyDescent="0.2">
      <c r="A69" s="148">
        <v>3</v>
      </c>
      <c r="B69" s="112" t="s">
        <v>143</v>
      </c>
      <c r="C69" s="113" t="s">
        <v>90</v>
      </c>
      <c r="D69" s="145" t="s">
        <v>141</v>
      </c>
      <c r="E69" s="113" t="s">
        <v>112</v>
      </c>
      <c r="F69" s="113" t="s">
        <v>121</v>
      </c>
      <c r="G69" s="115">
        <v>46054</v>
      </c>
      <c r="H69" s="123">
        <v>220000</v>
      </c>
      <c r="I69" s="113">
        <v>400</v>
      </c>
      <c r="J69" s="142">
        <f t="shared" si="17"/>
        <v>88000000</v>
      </c>
      <c r="K69" s="119" t="s">
        <v>114</v>
      </c>
      <c r="L69" s="122">
        <v>0</v>
      </c>
      <c r="M69" s="135"/>
      <c r="N69" s="165"/>
      <c r="O69" s="135"/>
      <c r="P69" s="165"/>
      <c r="Q69" s="135"/>
      <c r="R69" s="166"/>
      <c r="S69" s="380"/>
      <c r="T69" s="149"/>
    </row>
    <row r="70" spans="1:20" x14ac:dyDescent="0.2">
      <c r="A70" s="148">
        <v>4</v>
      </c>
      <c r="B70" s="112" t="s">
        <v>148</v>
      </c>
      <c r="C70" s="113" t="s">
        <v>90</v>
      </c>
      <c r="D70" s="145" t="s">
        <v>141</v>
      </c>
      <c r="E70" s="113" t="s">
        <v>112</v>
      </c>
      <c r="F70" s="113" t="s">
        <v>121</v>
      </c>
      <c r="G70" s="115">
        <v>46054</v>
      </c>
      <c r="H70" s="123">
        <v>220000</v>
      </c>
      <c r="I70" s="113">
        <v>600</v>
      </c>
      <c r="J70" s="142">
        <f t="shared" si="17"/>
        <v>132000000</v>
      </c>
      <c r="K70" s="119" t="s">
        <v>114</v>
      </c>
      <c r="L70" s="122">
        <v>0</v>
      </c>
      <c r="M70" s="135"/>
      <c r="N70" s="165"/>
      <c r="O70" s="135"/>
      <c r="P70" s="165"/>
      <c r="Q70" s="135"/>
      <c r="R70" s="166"/>
      <c r="S70" s="380"/>
      <c r="T70" s="149"/>
    </row>
    <row r="71" spans="1:20" x14ac:dyDescent="0.2">
      <c r="A71" s="148">
        <v>5</v>
      </c>
      <c r="B71" s="112" t="s">
        <v>148</v>
      </c>
      <c r="C71" s="113" t="s">
        <v>159</v>
      </c>
      <c r="D71" s="145" t="s">
        <v>141</v>
      </c>
      <c r="E71" s="113" t="s">
        <v>112</v>
      </c>
      <c r="F71" s="113" t="s">
        <v>121</v>
      </c>
      <c r="G71" s="115">
        <v>46054</v>
      </c>
      <c r="H71" s="123">
        <v>170000</v>
      </c>
      <c r="I71" s="113">
        <v>644</v>
      </c>
      <c r="J71" s="142">
        <f t="shared" si="17"/>
        <v>109480000</v>
      </c>
      <c r="K71" s="119" t="s">
        <v>114</v>
      </c>
      <c r="L71" s="122">
        <v>0</v>
      </c>
      <c r="M71" s="135"/>
      <c r="N71" s="165"/>
      <c r="O71" s="135"/>
      <c r="P71" s="165"/>
      <c r="Q71" s="135"/>
      <c r="R71" s="166"/>
      <c r="S71" s="380"/>
      <c r="T71" s="149"/>
    </row>
    <row r="72" spans="1:20" x14ac:dyDescent="0.2">
      <c r="A72" s="148">
        <v>6</v>
      </c>
      <c r="B72" s="112" t="s">
        <v>3</v>
      </c>
      <c r="C72" s="113" t="s">
        <v>167</v>
      </c>
      <c r="D72" s="145" t="s">
        <v>168</v>
      </c>
      <c r="E72" s="113" t="s">
        <v>112</v>
      </c>
      <c r="F72" s="113" t="s">
        <v>121</v>
      </c>
      <c r="G72" s="115">
        <v>46054</v>
      </c>
      <c r="H72" s="123">
        <v>172295</v>
      </c>
      <c r="I72" s="113">
        <v>200</v>
      </c>
      <c r="J72" s="142">
        <f t="shared" si="17"/>
        <v>34459000</v>
      </c>
      <c r="K72" s="119" t="s">
        <v>114</v>
      </c>
      <c r="L72" s="122">
        <v>0</v>
      </c>
      <c r="M72" s="135"/>
      <c r="N72" s="165"/>
      <c r="O72" s="135"/>
      <c r="P72" s="165"/>
      <c r="Q72" s="135"/>
      <c r="R72" s="166"/>
      <c r="S72" s="380"/>
      <c r="T72" s="149"/>
    </row>
    <row r="73" spans="1:20" x14ac:dyDescent="0.2">
      <c r="A73" s="148">
        <v>7</v>
      </c>
      <c r="B73" s="112" t="s">
        <v>3</v>
      </c>
      <c r="C73" s="113" t="s">
        <v>169</v>
      </c>
      <c r="D73" s="145" t="s">
        <v>168</v>
      </c>
      <c r="E73" s="113" t="s">
        <v>112</v>
      </c>
      <c r="F73" s="113" t="s">
        <v>121</v>
      </c>
      <c r="G73" s="115">
        <v>46054</v>
      </c>
      <c r="H73" s="123">
        <v>179295</v>
      </c>
      <c r="I73" s="113">
        <v>200</v>
      </c>
      <c r="J73" s="142">
        <f t="shared" si="17"/>
        <v>35859000</v>
      </c>
      <c r="K73" s="119" t="s">
        <v>114</v>
      </c>
      <c r="L73" s="122">
        <v>0</v>
      </c>
      <c r="M73" s="135"/>
      <c r="N73" s="165"/>
      <c r="O73" s="135"/>
      <c r="P73" s="165"/>
      <c r="Q73" s="135"/>
      <c r="R73" s="166"/>
      <c r="S73" s="380"/>
      <c r="T73" s="149"/>
    </row>
    <row r="74" spans="1:20" x14ac:dyDescent="0.2">
      <c r="A74" s="148">
        <v>8</v>
      </c>
      <c r="B74" s="114" t="s">
        <v>177</v>
      </c>
      <c r="C74" s="113" t="s">
        <v>171</v>
      </c>
      <c r="D74" s="145" t="s">
        <v>168</v>
      </c>
      <c r="E74" s="113" t="s">
        <v>112</v>
      </c>
      <c r="F74" s="113" t="s">
        <v>172</v>
      </c>
      <c r="G74" s="115">
        <v>46054</v>
      </c>
      <c r="H74" s="116">
        <v>24500</v>
      </c>
      <c r="I74" s="117">
        <v>25</v>
      </c>
      <c r="J74" s="142">
        <f t="shared" si="17"/>
        <v>612500</v>
      </c>
      <c r="K74" s="119" t="s">
        <v>114</v>
      </c>
      <c r="L74" s="122">
        <v>0</v>
      </c>
      <c r="M74" s="135"/>
      <c r="N74" s="165"/>
      <c r="O74" s="135"/>
      <c r="P74" s="165"/>
      <c r="Q74" s="135"/>
      <c r="R74" s="166"/>
      <c r="S74" s="380"/>
      <c r="T74" s="149"/>
    </row>
    <row r="75" spans="1:20" x14ac:dyDescent="0.2">
      <c r="A75" s="148"/>
      <c r="B75" s="112"/>
      <c r="C75" s="113"/>
      <c r="D75" s="113"/>
      <c r="E75" s="113"/>
      <c r="F75" s="113"/>
      <c r="G75" s="115"/>
      <c r="H75" s="123"/>
      <c r="I75" s="113"/>
      <c r="J75" s="142"/>
      <c r="K75" s="119"/>
      <c r="L75" s="122"/>
      <c r="M75" s="135"/>
      <c r="N75" s="165"/>
      <c r="O75" s="135"/>
      <c r="P75" s="165"/>
      <c r="Q75" s="135"/>
      <c r="R75" s="166"/>
      <c r="S75" s="380"/>
      <c r="T75" s="149"/>
    </row>
    <row r="76" spans="1:20" x14ac:dyDescent="0.2">
      <c r="A76" s="148"/>
      <c r="B76" s="144" t="s">
        <v>190</v>
      </c>
      <c r="C76" s="113"/>
      <c r="D76" s="113"/>
      <c r="E76" s="113"/>
      <c r="F76" s="113"/>
      <c r="G76" s="115"/>
      <c r="H76" s="123"/>
      <c r="I76" s="113"/>
      <c r="J76" s="256">
        <f>SUM(J67:J75)</f>
        <v>451443500</v>
      </c>
      <c r="K76" s="119"/>
      <c r="L76" s="122"/>
      <c r="M76" s="164">
        <f t="shared" ref="M76:R76" si="18">SUM(M67:M75)</f>
        <v>0</v>
      </c>
      <c r="N76" s="167">
        <f t="shared" si="18"/>
        <v>0</v>
      </c>
      <c r="O76" s="164">
        <f t="shared" si="18"/>
        <v>0</v>
      </c>
      <c r="P76" s="167">
        <f t="shared" si="18"/>
        <v>0</v>
      </c>
      <c r="Q76" s="164">
        <f t="shared" si="18"/>
        <v>0</v>
      </c>
      <c r="R76" s="167">
        <f t="shared" si="18"/>
        <v>0</v>
      </c>
      <c r="S76" s="382"/>
      <c r="T76" s="149"/>
    </row>
    <row r="77" spans="1:20" ht="16" x14ac:dyDescent="0.2">
      <c r="A77" s="148"/>
      <c r="B77" s="139">
        <v>46082</v>
      </c>
      <c r="C77" s="113"/>
      <c r="D77" s="113"/>
      <c r="E77" s="113"/>
      <c r="F77" s="113"/>
      <c r="G77" s="115"/>
      <c r="H77" s="123"/>
      <c r="I77" s="113"/>
      <c r="J77" s="142"/>
      <c r="K77" s="119"/>
      <c r="L77" s="122"/>
      <c r="M77" s="113"/>
      <c r="N77" s="166"/>
      <c r="O77" s="113"/>
      <c r="P77" s="166"/>
      <c r="Q77" s="113"/>
      <c r="R77" s="166"/>
      <c r="S77" s="380"/>
      <c r="T77" s="149"/>
    </row>
    <row r="78" spans="1:20" x14ac:dyDescent="0.2">
      <c r="A78" s="148">
        <f>A77+1</f>
        <v>1</v>
      </c>
      <c r="B78" s="114" t="s">
        <v>11</v>
      </c>
      <c r="C78" s="113" t="s">
        <v>90</v>
      </c>
      <c r="D78" s="113" t="s">
        <v>111</v>
      </c>
      <c r="E78" s="113" t="s">
        <v>112</v>
      </c>
      <c r="F78" s="113" t="s">
        <v>121</v>
      </c>
      <c r="G78" s="115">
        <v>46082</v>
      </c>
      <c r="H78" s="116">
        <v>185700</v>
      </c>
      <c r="I78" s="117">
        <v>70</v>
      </c>
      <c r="J78" s="142">
        <f>H78*I78</f>
        <v>12999000</v>
      </c>
      <c r="K78" s="119" t="s">
        <v>114</v>
      </c>
      <c r="L78" s="122">
        <v>0</v>
      </c>
      <c r="M78" s="113"/>
      <c r="N78" s="166"/>
      <c r="O78" s="113"/>
      <c r="P78" s="166"/>
      <c r="Q78" s="113"/>
      <c r="R78" s="166"/>
      <c r="S78" s="380"/>
      <c r="T78" s="149"/>
    </row>
    <row r="79" spans="1:20" x14ac:dyDescent="0.2">
      <c r="A79" s="148">
        <f>A78+1</f>
        <v>2</v>
      </c>
      <c r="B79" s="112" t="s">
        <v>148</v>
      </c>
      <c r="C79" s="113" t="s">
        <v>161</v>
      </c>
      <c r="D79" s="113" t="s">
        <v>141</v>
      </c>
      <c r="E79" s="113" t="s">
        <v>112</v>
      </c>
      <c r="F79" s="113" t="s">
        <v>121</v>
      </c>
      <c r="G79" s="115">
        <v>46082</v>
      </c>
      <c r="H79" s="123">
        <v>255000</v>
      </c>
      <c r="I79" s="113">
        <v>100</v>
      </c>
      <c r="J79" s="142">
        <f t="shared" ref="J79:J82" si="19">H79*I79</f>
        <v>25500000</v>
      </c>
      <c r="K79" s="119" t="s">
        <v>114</v>
      </c>
      <c r="L79" s="122">
        <v>0</v>
      </c>
      <c r="M79" s="135"/>
      <c r="N79" s="165"/>
      <c r="O79" s="135"/>
      <c r="P79" s="165"/>
      <c r="Q79" s="135"/>
      <c r="R79" s="166"/>
      <c r="S79" s="380"/>
      <c r="T79" s="149"/>
    </row>
    <row r="80" spans="1:20" x14ac:dyDescent="0.2">
      <c r="A80" s="148">
        <f t="shared" ref="A80:A82" si="20">A79+1</f>
        <v>3</v>
      </c>
      <c r="B80" s="112" t="s">
        <v>157</v>
      </c>
      <c r="C80" s="113" t="s">
        <v>162</v>
      </c>
      <c r="D80" s="113" t="s">
        <v>141</v>
      </c>
      <c r="E80" s="113" t="s">
        <v>112</v>
      </c>
      <c r="F80" s="113" t="s">
        <v>121</v>
      </c>
      <c r="G80" s="115">
        <v>46082</v>
      </c>
      <c r="H80" s="123">
        <v>216000</v>
      </c>
      <c r="I80" s="113">
        <v>2</v>
      </c>
      <c r="J80" s="142">
        <f t="shared" si="19"/>
        <v>432000</v>
      </c>
      <c r="K80" s="119" t="s">
        <v>114</v>
      </c>
      <c r="L80" s="122">
        <v>0</v>
      </c>
      <c r="M80" s="135"/>
      <c r="N80" s="165"/>
      <c r="O80" s="135"/>
      <c r="P80" s="165"/>
      <c r="Q80" s="135"/>
      <c r="R80" s="166"/>
      <c r="S80" s="380"/>
      <c r="T80" s="149"/>
    </row>
    <row r="81" spans="1:20" x14ac:dyDescent="0.2">
      <c r="A81" s="148">
        <f t="shared" si="20"/>
        <v>4</v>
      </c>
      <c r="B81" s="112" t="s">
        <v>148</v>
      </c>
      <c r="C81" s="113" t="s">
        <v>164</v>
      </c>
      <c r="D81" s="113" t="s">
        <v>141</v>
      </c>
      <c r="E81" s="113" t="s">
        <v>112</v>
      </c>
      <c r="F81" s="113" t="s">
        <v>121</v>
      </c>
      <c r="G81" s="115">
        <v>46082</v>
      </c>
      <c r="H81" s="123">
        <v>321000</v>
      </c>
      <c r="I81" s="113">
        <v>300</v>
      </c>
      <c r="J81" s="142">
        <f t="shared" si="19"/>
        <v>96300000</v>
      </c>
      <c r="K81" s="119" t="s">
        <v>114</v>
      </c>
      <c r="L81" s="122">
        <v>0</v>
      </c>
      <c r="M81" s="135"/>
      <c r="N81" s="165"/>
      <c r="O81" s="135"/>
      <c r="P81" s="165"/>
      <c r="Q81" s="135"/>
      <c r="R81" s="166"/>
      <c r="S81" s="380"/>
      <c r="T81" s="149"/>
    </row>
    <row r="82" spans="1:20" x14ac:dyDescent="0.2">
      <c r="A82" s="148">
        <f t="shared" si="20"/>
        <v>5</v>
      </c>
      <c r="B82" s="112" t="s">
        <v>165</v>
      </c>
      <c r="C82" s="113" t="s">
        <v>153</v>
      </c>
      <c r="D82" s="113" t="s">
        <v>141</v>
      </c>
      <c r="E82" s="113" t="s">
        <v>112</v>
      </c>
      <c r="F82" s="113" t="s">
        <v>121</v>
      </c>
      <c r="G82" s="115">
        <v>46082</v>
      </c>
      <c r="H82" s="123">
        <v>205000</v>
      </c>
      <c r="I82" s="113">
        <v>2</v>
      </c>
      <c r="J82" s="142">
        <f t="shared" si="19"/>
        <v>410000</v>
      </c>
      <c r="K82" s="119" t="s">
        <v>114</v>
      </c>
      <c r="L82" s="122">
        <v>0</v>
      </c>
      <c r="M82" s="135"/>
      <c r="N82" s="165"/>
      <c r="O82" s="135"/>
      <c r="P82" s="165"/>
      <c r="Q82" s="135"/>
      <c r="R82" s="166"/>
      <c r="S82" s="380"/>
      <c r="T82" s="149"/>
    </row>
    <row r="83" spans="1:20" x14ac:dyDescent="0.2">
      <c r="A83" s="148">
        <f>A59+1</f>
        <v>9</v>
      </c>
      <c r="B83" s="114" t="s">
        <v>15</v>
      </c>
      <c r="C83" s="113" t="s">
        <v>129</v>
      </c>
      <c r="D83" s="113" t="s">
        <v>111</v>
      </c>
      <c r="E83" s="113" t="s">
        <v>112</v>
      </c>
      <c r="F83" s="113" t="s">
        <v>121</v>
      </c>
      <c r="G83" s="115">
        <v>46082</v>
      </c>
      <c r="H83" s="143">
        <v>112960</v>
      </c>
      <c r="I83" s="117">
        <v>50</v>
      </c>
      <c r="J83" s="142">
        <f>H83*I83</f>
        <v>5648000</v>
      </c>
      <c r="K83" s="119" t="s">
        <v>114</v>
      </c>
      <c r="L83" s="122">
        <v>0</v>
      </c>
      <c r="M83" s="135"/>
      <c r="N83" s="165"/>
      <c r="O83" s="135"/>
      <c r="P83" s="165"/>
      <c r="Q83" s="135"/>
      <c r="R83" s="166"/>
      <c r="S83" s="380"/>
      <c r="T83" s="149"/>
    </row>
    <row r="84" spans="1:20" x14ac:dyDescent="0.2">
      <c r="A84" s="148">
        <f t="shared" ref="A84:A85" si="21">A60+1</f>
        <v>11</v>
      </c>
      <c r="B84" s="112"/>
      <c r="C84" s="113"/>
      <c r="D84" s="113"/>
      <c r="E84" s="113"/>
      <c r="F84" s="113"/>
      <c r="G84" s="115"/>
      <c r="H84" s="123"/>
      <c r="I84" s="113"/>
      <c r="J84" s="142"/>
      <c r="K84" s="119"/>
      <c r="L84" s="122"/>
      <c r="M84" s="135"/>
      <c r="N84" s="165"/>
      <c r="O84" s="135"/>
      <c r="P84" s="165"/>
      <c r="Q84" s="135"/>
      <c r="R84" s="166"/>
      <c r="S84" s="380"/>
      <c r="T84" s="149"/>
    </row>
    <row r="85" spans="1:20" x14ac:dyDescent="0.2">
      <c r="A85" s="148">
        <f t="shared" si="21"/>
        <v>12</v>
      </c>
      <c r="B85" s="112"/>
      <c r="C85" s="113"/>
      <c r="D85" s="113"/>
      <c r="E85" s="113"/>
      <c r="F85" s="113"/>
      <c r="G85" s="115"/>
      <c r="H85" s="123"/>
      <c r="I85" s="113"/>
      <c r="J85" s="142"/>
      <c r="K85" s="119"/>
      <c r="L85" s="122"/>
      <c r="M85" s="135"/>
      <c r="N85" s="165"/>
      <c r="O85" s="135"/>
      <c r="P85" s="165"/>
      <c r="Q85" s="135"/>
      <c r="R85" s="166"/>
      <c r="S85" s="380"/>
      <c r="T85" s="149"/>
    </row>
    <row r="86" spans="1:20" x14ac:dyDescent="0.2">
      <c r="A86" s="151"/>
      <c r="B86" s="152" t="s">
        <v>191</v>
      </c>
      <c r="C86" s="153"/>
      <c r="D86" s="153"/>
      <c r="E86" s="153"/>
      <c r="F86" s="153"/>
      <c r="G86" s="154"/>
      <c r="H86" s="155"/>
      <c r="I86" s="153"/>
      <c r="J86" s="257">
        <f>SUM(J78:J85)</f>
        <v>141289000</v>
      </c>
      <c r="K86" s="156"/>
      <c r="L86" s="157"/>
      <c r="M86" s="168">
        <f>SUM(M78:M85)</f>
        <v>0</v>
      </c>
      <c r="N86" s="169">
        <f>SUM(N78:N85)</f>
        <v>0</v>
      </c>
      <c r="O86" s="168">
        <f>SUM(O78:O85)</f>
        <v>0</v>
      </c>
      <c r="P86" s="169">
        <f>SUM(P78:P85)</f>
        <v>0</v>
      </c>
      <c r="Q86" s="168">
        <f>SUM(Q78:Q85)</f>
        <v>0</v>
      </c>
      <c r="R86" s="169">
        <f t="shared" ref="R86" si="22">SUM(R78:R85)</f>
        <v>0</v>
      </c>
      <c r="S86" s="383"/>
      <c r="T86" s="158"/>
    </row>
    <row r="87" spans="1:20" ht="16" x14ac:dyDescent="0.2">
      <c r="A87" s="148"/>
      <c r="B87" s="139">
        <v>46113</v>
      </c>
      <c r="C87" s="113"/>
      <c r="D87" s="113"/>
      <c r="E87" s="113"/>
      <c r="F87" s="113"/>
      <c r="G87" s="115"/>
      <c r="H87" s="123"/>
      <c r="I87" s="113"/>
      <c r="J87" s="142"/>
      <c r="K87" s="119"/>
      <c r="L87" s="122"/>
      <c r="M87" s="113"/>
      <c r="N87" s="166"/>
      <c r="O87" s="113"/>
      <c r="P87" s="166"/>
      <c r="Q87" s="113"/>
      <c r="R87" s="166"/>
      <c r="S87" s="380"/>
      <c r="T87" s="149"/>
    </row>
    <row r="88" spans="1:20" x14ac:dyDescent="0.2">
      <c r="A88" s="148">
        <f>A87+1</f>
        <v>1</v>
      </c>
      <c r="B88" s="114" t="s">
        <v>11</v>
      </c>
      <c r="C88" s="113" t="s">
        <v>90</v>
      </c>
      <c r="D88" s="113" t="s">
        <v>111</v>
      </c>
      <c r="E88" s="113" t="s">
        <v>112</v>
      </c>
      <c r="F88" s="113" t="s">
        <v>121</v>
      </c>
      <c r="G88" s="115">
        <v>46082</v>
      </c>
      <c r="H88" s="116">
        <v>185700</v>
      </c>
      <c r="I88" s="117">
        <v>70</v>
      </c>
      <c r="J88" s="142">
        <f>H88*I88</f>
        <v>12999000</v>
      </c>
      <c r="K88" s="119" t="s">
        <v>114</v>
      </c>
      <c r="L88" s="122">
        <v>0</v>
      </c>
      <c r="M88" s="113"/>
      <c r="N88" s="166"/>
      <c r="O88" s="113"/>
      <c r="P88" s="166"/>
      <c r="Q88" s="113"/>
      <c r="R88" s="166"/>
      <c r="S88" s="380"/>
      <c r="T88" s="149"/>
    </row>
    <row r="89" spans="1:20" x14ac:dyDescent="0.2">
      <c r="A89" s="148">
        <f t="shared" ref="A89:A97" si="23">A88+1</f>
        <v>2</v>
      </c>
      <c r="B89" s="112" t="s">
        <v>148</v>
      </c>
      <c r="C89" s="113" t="s">
        <v>161</v>
      </c>
      <c r="D89" s="113" t="s">
        <v>141</v>
      </c>
      <c r="E89" s="113" t="s">
        <v>112</v>
      </c>
      <c r="F89" s="113" t="s">
        <v>121</v>
      </c>
      <c r="G89" s="115">
        <v>46082</v>
      </c>
      <c r="H89" s="123">
        <v>255000</v>
      </c>
      <c r="I89" s="113">
        <v>100</v>
      </c>
      <c r="J89" s="142">
        <f t="shared" ref="J89:J92" si="24">H89*I89</f>
        <v>25500000</v>
      </c>
      <c r="K89" s="119" t="s">
        <v>114</v>
      </c>
      <c r="L89" s="122">
        <v>0</v>
      </c>
      <c r="M89" s="135"/>
      <c r="N89" s="165"/>
      <c r="O89" s="135"/>
      <c r="P89" s="165"/>
      <c r="Q89" s="135"/>
      <c r="R89" s="166"/>
      <c r="S89" s="380"/>
      <c r="T89" s="149"/>
    </row>
    <row r="90" spans="1:20" x14ac:dyDescent="0.2">
      <c r="A90" s="148">
        <f t="shared" si="23"/>
        <v>3</v>
      </c>
      <c r="B90" s="112" t="s">
        <v>157</v>
      </c>
      <c r="C90" s="113" t="s">
        <v>162</v>
      </c>
      <c r="D90" s="113" t="s">
        <v>141</v>
      </c>
      <c r="E90" s="113" t="s">
        <v>112</v>
      </c>
      <c r="F90" s="113" t="s">
        <v>121</v>
      </c>
      <c r="G90" s="115">
        <v>46082</v>
      </c>
      <c r="H90" s="123">
        <v>216000</v>
      </c>
      <c r="I90" s="113">
        <v>2</v>
      </c>
      <c r="J90" s="142">
        <f t="shared" si="24"/>
        <v>432000</v>
      </c>
      <c r="K90" s="119" t="s">
        <v>114</v>
      </c>
      <c r="L90" s="122">
        <v>0</v>
      </c>
      <c r="M90" s="135"/>
      <c r="N90" s="165"/>
      <c r="O90" s="135"/>
      <c r="P90" s="165"/>
      <c r="Q90" s="135"/>
      <c r="R90" s="166"/>
      <c r="S90" s="380"/>
      <c r="T90" s="149"/>
    </row>
    <row r="91" spans="1:20" x14ac:dyDescent="0.2">
      <c r="A91" s="148">
        <f t="shared" si="23"/>
        <v>4</v>
      </c>
      <c r="B91" s="112" t="s">
        <v>148</v>
      </c>
      <c r="C91" s="113" t="s">
        <v>164</v>
      </c>
      <c r="D91" s="113" t="s">
        <v>141</v>
      </c>
      <c r="E91" s="113" t="s">
        <v>112</v>
      </c>
      <c r="F91" s="113" t="s">
        <v>121</v>
      </c>
      <c r="G91" s="115">
        <v>46082</v>
      </c>
      <c r="H91" s="123">
        <v>321000</v>
      </c>
      <c r="I91" s="113">
        <v>300</v>
      </c>
      <c r="J91" s="142">
        <f t="shared" si="24"/>
        <v>96300000</v>
      </c>
      <c r="K91" s="119" t="s">
        <v>114</v>
      </c>
      <c r="L91" s="122">
        <v>0</v>
      </c>
      <c r="M91" s="135"/>
      <c r="N91" s="165"/>
      <c r="O91" s="135"/>
      <c r="P91" s="165"/>
      <c r="Q91" s="135"/>
      <c r="R91" s="166"/>
      <c r="S91" s="380"/>
      <c r="T91" s="149"/>
    </row>
    <row r="92" spans="1:20" x14ac:dyDescent="0.2">
      <c r="A92" s="148">
        <f t="shared" si="23"/>
        <v>5</v>
      </c>
      <c r="B92" s="112" t="s">
        <v>165</v>
      </c>
      <c r="C92" s="113" t="s">
        <v>153</v>
      </c>
      <c r="D92" s="113" t="s">
        <v>141</v>
      </c>
      <c r="E92" s="113" t="s">
        <v>112</v>
      </c>
      <c r="F92" s="113" t="s">
        <v>121</v>
      </c>
      <c r="G92" s="115">
        <v>46082</v>
      </c>
      <c r="H92" s="123">
        <v>205000</v>
      </c>
      <c r="I92" s="113">
        <v>2</v>
      </c>
      <c r="J92" s="142">
        <f t="shared" si="24"/>
        <v>410000</v>
      </c>
      <c r="K92" s="119" t="s">
        <v>114</v>
      </c>
      <c r="L92" s="122">
        <v>0</v>
      </c>
      <c r="M92" s="135"/>
      <c r="N92" s="165"/>
      <c r="O92" s="135"/>
      <c r="P92" s="165"/>
      <c r="Q92" s="135"/>
      <c r="R92" s="166"/>
      <c r="S92" s="380"/>
      <c r="T92" s="149"/>
    </row>
    <row r="93" spans="1:20" x14ac:dyDescent="0.2">
      <c r="A93" s="148">
        <f t="shared" si="23"/>
        <v>6</v>
      </c>
      <c r="B93" s="125"/>
      <c r="C93" s="113"/>
      <c r="D93" s="113"/>
      <c r="E93" s="113"/>
      <c r="F93" s="113"/>
      <c r="G93" s="115"/>
      <c r="H93" s="123"/>
      <c r="I93" s="113"/>
      <c r="J93" s="142"/>
      <c r="K93" s="119"/>
      <c r="L93" s="122"/>
      <c r="M93" s="135"/>
      <c r="N93" s="165"/>
      <c r="O93" s="135"/>
      <c r="P93" s="165"/>
      <c r="Q93" s="135"/>
      <c r="R93" s="166"/>
      <c r="S93" s="380"/>
      <c r="T93" s="149"/>
    </row>
    <row r="94" spans="1:20" x14ac:dyDescent="0.2">
      <c r="A94" s="148">
        <f t="shared" si="23"/>
        <v>7</v>
      </c>
      <c r="B94" s="125"/>
      <c r="C94" s="113"/>
      <c r="D94" s="113"/>
      <c r="E94" s="113"/>
      <c r="F94" s="113"/>
      <c r="G94" s="115"/>
      <c r="H94" s="123"/>
      <c r="I94" s="113"/>
      <c r="J94" s="142"/>
      <c r="K94" s="119"/>
      <c r="L94" s="122"/>
      <c r="M94" s="135"/>
      <c r="N94" s="165"/>
      <c r="O94" s="135"/>
      <c r="P94" s="165"/>
      <c r="Q94" s="135"/>
      <c r="R94" s="166"/>
      <c r="S94" s="380"/>
      <c r="T94" s="149"/>
    </row>
    <row r="95" spans="1:20" x14ac:dyDescent="0.2">
      <c r="A95" s="148">
        <f t="shared" si="23"/>
        <v>8</v>
      </c>
      <c r="B95" s="125"/>
      <c r="C95" s="113"/>
      <c r="D95" s="113"/>
      <c r="E95" s="113"/>
      <c r="F95" s="113"/>
      <c r="G95" s="115"/>
      <c r="H95" s="123"/>
      <c r="I95" s="113"/>
      <c r="J95" s="142"/>
      <c r="K95" s="119"/>
      <c r="L95" s="122"/>
      <c r="M95" s="135"/>
      <c r="N95" s="165"/>
      <c r="O95" s="135"/>
      <c r="P95" s="165"/>
      <c r="Q95" s="135"/>
      <c r="R95" s="166"/>
      <c r="S95" s="380"/>
      <c r="T95" s="149"/>
    </row>
    <row r="96" spans="1:20" x14ac:dyDescent="0.2">
      <c r="A96" s="148">
        <f t="shared" si="23"/>
        <v>9</v>
      </c>
      <c r="B96" s="112"/>
      <c r="C96" s="113"/>
      <c r="D96" s="113"/>
      <c r="E96" s="113"/>
      <c r="F96" s="113"/>
      <c r="G96" s="115"/>
      <c r="H96" s="123"/>
      <c r="I96" s="113"/>
      <c r="J96" s="142"/>
      <c r="K96" s="119"/>
      <c r="L96" s="122"/>
      <c r="M96" s="135"/>
      <c r="N96" s="165"/>
      <c r="O96" s="135"/>
      <c r="P96" s="165"/>
      <c r="Q96" s="135"/>
      <c r="R96" s="166"/>
      <c r="S96" s="380"/>
      <c r="T96" s="149"/>
    </row>
    <row r="97" spans="1:20" x14ac:dyDescent="0.2">
      <c r="A97" s="148">
        <f t="shared" si="23"/>
        <v>10</v>
      </c>
      <c r="B97" s="112"/>
      <c r="C97" s="113"/>
      <c r="D97" s="113"/>
      <c r="E97" s="113"/>
      <c r="F97" s="113"/>
      <c r="G97" s="115"/>
      <c r="H97" s="123"/>
      <c r="I97" s="113"/>
      <c r="J97" s="142"/>
      <c r="K97" s="119"/>
      <c r="L97" s="122"/>
      <c r="M97" s="135"/>
      <c r="N97" s="165"/>
      <c r="O97" s="135"/>
      <c r="P97" s="165"/>
      <c r="Q97" s="135"/>
      <c r="R97" s="166"/>
      <c r="S97" s="380"/>
      <c r="T97" s="149"/>
    </row>
    <row r="98" spans="1:20" x14ac:dyDescent="0.2">
      <c r="A98" s="151"/>
      <c r="B98" s="152" t="s">
        <v>192</v>
      </c>
      <c r="C98" s="153"/>
      <c r="D98" s="153"/>
      <c r="E98" s="153"/>
      <c r="F98" s="153"/>
      <c r="G98" s="154"/>
      <c r="H98" s="155"/>
      <c r="I98" s="153"/>
      <c r="J98" s="257">
        <f>SUM(J88:J97)</f>
        <v>135641000</v>
      </c>
      <c r="K98" s="156"/>
      <c r="L98" s="157"/>
      <c r="M98" s="168">
        <f t="shared" ref="M98:R98" si="25">SUM(M88:M97)</f>
        <v>0</v>
      </c>
      <c r="N98" s="169">
        <f t="shared" si="25"/>
        <v>0</v>
      </c>
      <c r="O98" s="168">
        <f t="shared" si="25"/>
        <v>0</v>
      </c>
      <c r="P98" s="169">
        <f t="shared" si="25"/>
        <v>0</v>
      </c>
      <c r="Q98" s="168">
        <f t="shared" si="25"/>
        <v>0</v>
      </c>
      <c r="R98" s="169">
        <f t="shared" si="25"/>
        <v>0</v>
      </c>
      <c r="S98" s="383"/>
      <c r="T98" s="158"/>
    </row>
  </sheetData>
  <autoFilter ref="A1:R46" xr:uid="{6C392DA7-5F5A-4E06-BE96-46C05DEA22D1}">
    <filterColumn colId="12" showButton="0"/>
    <filterColumn colId="13" showButton="0"/>
    <filterColumn colId="14" showButton="0"/>
    <filterColumn colId="15" showButton="0"/>
    <filterColumn colId="16" showButton="0"/>
  </autoFilter>
  <mergeCells count="18">
    <mergeCell ref="K1:K3"/>
    <mergeCell ref="L1:L3"/>
    <mergeCell ref="T1:T3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  <mergeCell ref="M51:R51"/>
    <mergeCell ref="M1:R1"/>
    <mergeCell ref="M2:N2"/>
    <mergeCell ref="O2:P2"/>
    <mergeCell ref="Q2:R2"/>
  </mergeCells>
  <dataValidations count="2">
    <dataValidation type="list" allowBlank="1" showInputMessage="1" showErrorMessage="1" sqref="K1 K4:K47 K49:K1048576" xr:uid="{9EC6C583-9EC8-416D-8782-CD6235088871}">
      <formula1>"Y, N"</formula1>
    </dataValidation>
    <dataValidation type="list" allowBlank="1" showInputMessage="1" showErrorMessage="1" sqref="D1:D1048576" xr:uid="{1B5384ED-1E57-46EA-B356-A73CE97EBB25}">
      <formula1>"KM, BJ, SM, 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5C4B-5EFA-4BC1-8518-BB5045BF1719}">
  <dimension ref="A2:CB72"/>
  <sheetViews>
    <sheetView topLeftCell="A20" zoomScale="125" workbookViewId="0">
      <selection activeCell="K30" sqref="K30"/>
    </sheetView>
  </sheetViews>
  <sheetFormatPr baseColWidth="10" defaultColWidth="11" defaultRowHeight="16" x14ac:dyDescent="0.2"/>
  <cols>
    <col min="1" max="1" width="8.1640625" style="67" customWidth="1"/>
    <col min="2" max="2" width="12.1640625" customWidth="1"/>
    <col min="3" max="3" width="21.1640625" customWidth="1"/>
    <col min="4" max="4" width="15.6640625" style="68" customWidth="1"/>
    <col min="5" max="5" width="10.1640625" style="68" customWidth="1"/>
    <col min="6" max="7" width="19" style="71" customWidth="1"/>
    <col min="8" max="8" width="16.1640625" style="68" bestFit="1" customWidth="1"/>
    <col min="9" max="9" width="53.33203125" hidden="1" customWidth="1"/>
    <col min="10" max="10" width="52.6640625" hidden="1" customWidth="1"/>
    <col min="11" max="11" width="43.6640625" style="353" customWidth="1"/>
    <col min="12" max="12" width="16" customWidth="1"/>
  </cols>
  <sheetData>
    <row r="2" spans="1:80" x14ac:dyDescent="0.2">
      <c r="A2" s="384" t="s">
        <v>193</v>
      </c>
      <c r="B2" s="385"/>
      <c r="C2" s="385"/>
      <c r="D2" s="385"/>
      <c r="E2" s="385"/>
      <c r="F2" s="385"/>
      <c r="G2" s="385"/>
      <c r="H2" s="385"/>
      <c r="I2" s="386"/>
      <c r="J2" s="100"/>
      <c r="K2" s="354"/>
    </row>
    <row r="4" spans="1:80" x14ac:dyDescent="0.2">
      <c r="A4" s="330" t="s">
        <v>194</v>
      </c>
      <c r="B4" s="330" t="s">
        <v>101</v>
      </c>
      <c r="C4" s="330" t="s">
        <v>195</v>
      </c>
      <c r="D4" s="330" t="s">
        <v>196</v>
      </c>
      <c r="E4" s="330" t="s">
        <v>197</v>
      </c>
      <c r="F4" s="331" t="s">
        <v>198</v>
      </c>
      <c r="G4" s="332">
        <v>46055</v>
      </c>
      <c r="H4" s="330" t="s">
        <v>199</v>
      </c>
      <c r="I4" s="330" t="s">
        <v>109</v>
      </c>
      <c r="J4" s="332" t="s">
        <v>200</v>
      </c>
      <c r="K4" s="355">
        <v>46267</v>
      </c>
    </row>
    <row r="5" spans="1:80" x14ac:dyDescent="0.2">
      <c r="A5" s="326"/>
      <c r="B5" s="327"/>
      <c r="C5" s="326"/>
      <c r="D5" s="326"/>
      <c r="E5" s="328"/>
      <c r="F5" s="329"/>
      <c r="G5" s="329"/>
      <c r="H5" s="328"/>
      <c r="I5" s="327"/>
      <c r="J5" s="327"/>
      <c r="K5" s="356"/>
    </row>
    <row r="6" spans="1:80" ht="15" x14ac:dyDescent="0.2">
      <c r="A6" s="301"/>
      <c r="B6" s="302">
        <v>46023</v>
      </c>
      <c r="C6" s="244"/>
      <c r="D6" s="213"/>
      <c r="E6" s="213"/>
      <c r="F6" s="303"/>
      <c r="G6" s="303"/>
      <c r="H6" s="213"/>
      <c r="I6" s="244"/>
      <c r="J6" s="269"/>
      <c r="K6" s="357"/>
    </row>
    <row r="7" spans="1:80" ht="13.5" customHeight="1" x14ac:dyDescent="0.2">
      <c r="A7" s="213">
        <v>1</v>
      </c>
      <c r="B7" s="211"/>
      <c r="C7" s="244" t="s">
        <v>201</v>
      </c>
      <c r="D7" s="213" t="s">
        <v>18</v>
      </c>
      <c r="E7" s="213">
        <v>50</v>
      </c>
      <c r="F7" s="268">
        <f>204950*E7</f>
        <v>10247500</v>
      </c>
      <c r="G7" s="268">
        <v>10431830</v>
      </c>
      <c r="H7" s="213" t="s">
        <v>202</v>
      </c>
      <c r="I7" s="269"/>
      <c r="J7" s="269" t="s">
        <v>203</v>
      </c>
      <c r="K7" s="357"/>
    </row>
    <row r="8" spans="1:80" ht="13.5" customHeight="1" x14ac:dyDescent="0.2">
      <c r="A8" s="213">
        <f>A7+1</f>
        <v>2</v>
      </c>
      <c r="B8" s="212"/>
      <c r="C8" s="271" t="s">
        <v>3</v>
      </c>
      <c r="D8" s="272" t="s">
        <v>204</v>
      </c>
      <c r="E8" s="272">
        <v>20</v>
      </c>
      <c r="F8" s="273">
        <f>155576*E8</f>
        <v>3111520</v>
      </c>
      <c r="G8" s="268">
        <v>1699100</v>
      </c>
      <c r="H8" s="213" t="s">
        <v>118</v>
      </c>
      <c r="I8" s="269" t="s">
        <v>205</v>
      </c>
      <c r="J8" s="269" t="s">
        <v>206</v>
      </c>
      <c r="K8" s="357"/>
    </row>
    <row r="9" spans="1:80" ht="13.5" customHeight="1" x14ac:dyDescent="0.2">
      <c r="A9" s="213">
        <f t="shared" ref="A9:A22" si="0">A8+1</f>
        <v>3</v>
      </c>
      <c r="B9" s="212"/>
      <c r="C9" s="271" t="s">
        <v>3</v>
      </c>
      <c r="D9" s="272" t="s">
        <v>19</v>
      </c>
      <c r="E9" s="272">
        <v>25</v>
      </c>
      <c r="F9" s="273">
        <f>188731*E9</f>
        <v>4718275</v>
      </c>
      <c r="G9" s="268">
        <v>5458510</v>
      </c>
      <c r="H9" s="213" t="s">
        <v>118</v>
      </c>
      <c r="I9" s="269" t="s">
        <v>207</v>
      </c>
      <c r="J9" s="269" t="s">
        <v>208</v>
      </c>
      <c r="K9" s="357"/>
    </row>
    <row r="10" spans="1:80" ht="13.5" customHeight="1" x14ac:dyDescent="0.2">
      <c r="A10" s="213">
        <f t="shared" si="0"/>
        <v>4</v>
      </c>
      <c r="B10" s="264"/>
      <c r="C10" s="271" t="s">
        <v>3</v>
      </c>
      <c r="D10" s="272" t="s">
        <v>209</v>
      </c>
      <c r="E10" s="272">
        <v>8</v>
      </c>
      <c r="F10" s="273">
        <f>125000*E10</f>
        <v>1000000</v>
      </c>
      <c r="G10" s="268">
        <v>725300</v>
      </c>
      <c r="H10" s="213" t="s">
        <v>118</v>
      </c>
      <c r="I10" s="269" t="s">
        <v>205</v>
      </c>
      <c r="J10" s="269" t="s">
        <v>210</v>
      </c>
      <c r="K10" s="357"/>
    </row>
    <row r="11" spans="1:80" ht="13.5" customHeight="1" x14ac:dyDescent="0.2">
      <c r="A11" s="213">
        <f t="shared" si="0"/>
        <v>5</v>
      </c>
      <c r="B11" s="212"/>
      <c r="C11" s="271" t="s">
        <v>3</v>
      </c>
      <c r="D11" s="272" t="s">
        <v>211</v>
      </c>
      <c r="E11" s="272">
        <v>11</v>
      </c>
      <c r="F11" s="273">
        <f>232020*E11</f>
        <v>2552220</v>
      </c>
      <c r="G11" s="268">
        <v>0</v>
      </c>
      <c r="H11" s="213" t="s">
        <v>118</v>
      </c>
      <c r="I11" s="269" t="s">
        <v>205</v>
      </c>
      <c r="J11" s="269" t="s">
        <v>212</v>
      </c>
      <c r="K11" s="357"/>
    </row>
    <row r="12" spans="1:80" ht="13.5" customHeight="1" x14ac:dyDescent="0.2">
      <c r="A12" s="213">
        <f t="shared" si="0"/>
        <v>6</v>
      </c>
      <c r="B12" s="212"/>
      <c r="C12" s="271" t="s">
        <v>139</v>
      </c>
      <c r="D12" s="272"/>
      <c r="E12" s="272">
        <v>164</v>
      </c>
      <c r="F12" s="273">
        <f>E12*23900</f>
        <v>3919600</v>
      </c>
      <c r="G12" s="270">
        <f t="shared" ref="G12:G14" si="1">F12</f>
        <v>3919600</v>
      </c>
      <c r="H12" s="213" t="s">
        <v>202</v>
      </c>
      <c r="I12" s="269"/>
      <c r="J12" s="269" t="s">
        <v>213</v>
      </c>
      <c r="K12" s="357"/>
    </row>
    <row r="13" spans="1:80" ht="13.5" customHeight="1" x14ac:dyDescent="0.2">
      <c r="A13" s="213">
        <f t="shared" si="0"/>
        <v>7</v>
      </c>
      <c r="B13" s="212"/>
      <c r="C13" s="271" t="s">
        <v>214</v>
      </c>
      <c r="D13" s="272" t="s">
        <v>90</v>
      </c>
      <c r="E13" s="272">
        <v>15</v>
      </c>
      <c r="F13" s="273">
        <f>185700*E13</f>
        <v>2785500</v>
      </c>
      <c r="G13" s="268">
        <v>1953500</v>
      </c>
      <c r="H13" s="213" t="s">
        <v>118</v>
      </c>
      <c r="I13" s="269" t="s">
        <v>215</v>
      </c>
      <c r="J13" s="269" t="s">
        <v>216</v>
      </c>
      <c r="K13" s="357"/>
    </row>
    <row r="14" spans="1:80" ht="13.5" customHeight="1" x14ac:dyDescent="0.2">
      <c r="A14" s="213">
        <f t="shared" si="0"/>
        <v>8</v>
      </c>
      <c r="B14" s="212"/>
      <c r="C14" s="271" t="s">
        <v>127</v>
      </c>
      <c r="D14" s="272" t="s">
        <v>26</v>
      </c>
      <c r="E14" s="272">
        <v>50</v>
      </c>
      <c r="F14" s="274">
        <f>194000*E14</f>
        <v>9700000</v>
      </c>
      <c r="G14" s="270">
        <f t="shared" si="1"/>
        <v>9700000</v>
      </c>
      <c r="H14" s="213" t="s">
        <v>118</v>
      </c>
      <c r="I14" s="278" t="s">
        <v>217</v>
      </c>
      <c r="J14" s="269" t="s">
        <v>218</v>
      </c>
      <c r="K14" s="357"/>
    </row>
    <row r="15" spans="1:80" ht="15" x14ac:dyDescent="0.2">
      <c r="A15" s="213">
        <f t="shared" si="0"/>
        <v>9</v>
      </c>
      <c r="B15" s="265"/>
      <c r="C15" s="275" t="s">
        <v>14</v>
      </c>
      <c r="D15" s="276" t="s">
        <v>219</v>
      </c>
      <c r="E15" s="276">
        <v>2</v>
      </c>
      <c r="F15" s="277"/>
      <c r="G15" s="266">
        <v>236800</v>
      </c>
      <c r="H15" s="89" t="s">
        <v>118</v>
      </c>
      <c r="I15" s="267"/>
      <c r="J15" s="267"/>
      <c r="K15" s="358"/>
    </row>
    <row r="16" spans="1:80" s="265" customFormat="1" ht="15" x14ac:dyDescent="0.2">
      <c r="A16" s="213">
        <f t="shared" si="0"/>
        <v>10</v>
      </c>
      <c r="C16" s="275" t="s">
        <v>220</v>
      </c>
      <c r="D16" s="276" t="s">
        <v>221</v>
      </c>
      <c r="E16" s="276"/>
      <c r="F16" s="277"/>
      <c r="G16" s="266">
        <v>304876</v>
      </c>
      <c r="H16" s="89" t="s">
        <v>118</v>
      </c>
      <c r="I16" s="267"/>
      <c r="J16" s="267"/>
      <c r="K16" s="358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 s="300"/>
    </row>
    <row r="17" spans="1:80" s="265" customFormat="1" ht="15" x14ac:dyDescent="0.2">
      <c r="A17" s="213">
        <f t="shared" si="0"/>
        <v>11</v>
      </c>
      <c r="C17" s="275" t="s">
        <v>222</v>
      </c>
      <c r="D17" s="276" t="s">
        <v>223</v>
      </c>
      <c r="E17" s="276"/>
      <c r="F17" s="277"/>
      <c r="G17" s="266">
        <v>2906278</v>
      </c>
      <c r="H17" s="89" t="s">
        <v>118</v>
      </c>
      <c r="I17" s="267"/>
      <c r="J17" s="267"/>
      <c r="K17" s="358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 s="300"/>
    </row>
    <row r="18" spans="1:80" s="265" customFormat="1" ht="15" x14ac:dyDescent="0.2">
      <c r="A18" s="213">
        <f t="shared" si="0"/>
        <v>12</v>
      </c>
      <c r="C18" s="275" t="s">
        <v>224</v>
      </c>
      <c r="D18" s="276" t="s">
        <v>225</v>
      </c>
      <c r="E18" s="276"/>
      <c r="F18" s="277"/>
      <c r="G18" s="266">
        <v>493805</v>
      </c>
      <c r="H18" s="89" t="s">
        <v>118</v>
      </c>
      <c r="I18" s="267"/>
      <c r="J18" s="267"/>
      <c r="K18" s="35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 s="300"/>
    </row>
    <row r="19" spans="1:80" s="265" customFormat="1" ht="15" x14ac:dyDescent="0.2">
      <c r="A19" s="213">
        <f t="shared" si="0"/>
        <v>13</v>
      </c>
      <c r="C19" s="265" t="s">
        <v>226</v>
      </c>
      <c r="D19" s="89"/>
      <c r="E19" s="89"/>
      <c r="F19" s="266"/>
      <c r="G19" s="266">
        <v>21000</v>
      </c>
      <c r="H19" s="89" t="s">
        <v>118</v>
      </c>
      <c r="I19" s="267"/>
      <c r="J19" s="267"/>
      <c r="K19" s="358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 s="300"/>
    </row>
    <row r="20" spans="1:80" s="265" customFormat="1" ht="15" x14ac:dyDescent="0.2">
      <c r="A20" s="213">
        <f t="shared" si="0"/>
        <v>14</v>
      </c>
      <c r="C20" s="265" t="s">
        <v>227</v>
      </c>
      <c r="D20" s="89"/>
      <c r="E20" s="89"/>
      <c r="F20" s="266"/>
      <c r="G20" s="266">
        <v>21000</v>
      </c>
      <c r="H20" s="89" t="s">
        <v>118</v>
      </c>
      <c r="I20" s="267"/>
      <c r="J20" s="267"/>
      <c r="K20" s="358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 s="300"/>
    </row>
    <row r="21" spans="1:80" s="265" customFormat="1" ht="15" x14ac:dyDescent="0.2">
      <c r="A21" s="213">
        <f t="shared" si="0"/>
        <v>15</v>
      </c>
      <c r="C21" s="265" t="s">
        <v>228</v>
      </c>
      <c r="D21" s="89"/>
      <c r="E21" s="89"/>
      <c r="F21" s="266"/>
      <c r="G21" s="266">
        <v>2299804</v>
      </c>
      <c r="H21" s="89" t="s">
        <v>118</v>
      </c>
      <c r="I21" s="267"/>
      <c r="J21" s="267"/>
      <c r="K21" s="358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 s="300"/>
    </row>
    <row r="22" spans="1:80" s="265" customFormat="1" ht="15" x14ac:dyDescent="0.2">
      <c r="A22" s="213">
        <f t="shared" si="0"/>
        <v>16</v>
      </c>
      <c r="C22" s="265" t="s">
        <v>229</v>
      </c>
      <c r="D22" s="89"/>
      <c r="E22" s="89"/>
      <c r="F22" s="266"/>
      <c r="G22" s="266">
        <v>131101</v>
      </c>
      <c r="H22" s="89" t="s">
        <v>118</v>
      </c>
      <c r="I22" s="267"/>
      <c r="J22" s="267"/>
      <c r="K22" s="358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 s="300"/>
    </row>
    <row r="23" spans="1:80" ht="15" x14ac:dyDescent="0.2">
      <c r="A23" s="337"/>
      <c r="B23" s="338"/>
      <c r="C23" s="338"/>
      <c r="D23" s="177"/>
      <c r="E23" s="177"/>
      <c r="F23" s="339"/>
      <c r="G23" s="339"/>
      <c r="H23" s="177"/>
      <c r="I23" s="340"/>
      <c r="J23" s="340"/>
      <c r="K23" s="359"/>
    </row>
    <row r="24" spans="1:80" x14ac:dyDescent="0.2">
      <c r="A24" s="333"/>
      <c r="B24" s="182"/>
      <c r="C24" s="333" t="s">
        <v>230</v>
      </c>
      <c r="D24" s="333"/>
      <c r="E24" s="334">
        <f>(SUM(E7:E15))</f>
        <v>345</v>
      </c>
      <c r="F24" s="335">
        <f>SUM(F7:F23)</f>
        <v>38034615</v>
      </c>
      <c r="G24" s="335">
        <f>SUM(G7:G22)</f>
        <v>40302504</v>
      </c>
      <c r="H24" s="336"/>
      <c r="I24" s="182"/>
      <c r="J24" s="182"/>
      <c r="K24" s="360"/>
    </row>
    <row r="25" spans="1:80" x14ac:dyDescent="0.2">
      <c r="A25" s="326"/>
      <c r="B25" s="341">
        <v>46054</v>
      </c>
      <c r="C25" s="327"/>
      <c r="D25" s="328"/>
      <c r="E25" s="328"/>
      <c r="F25" s="342"/>
      <c r="G25" s="342"/>
      <c r="H25" s="328"/>
      <c r="I25" s="327"/>
      <c r="J25" s="327"/>
      <c r="K25" s="356"/>
    </row>
    <row r="26" spans="1:80" ht="13.5" customHeight="1" x14ac:dyDescent="0.2">
      <c r="A26" s="89">
        <v>1</v>
      </c>
      <c r="B26" s="87"/>
      <c r="C26" s="265" t="s">
        <v>201</v>
      </c>
      <c r="D26" s="89" t="s">
        <v>18</v>
      </c>
      <c r="E26" s="89">
        <v>180</v>
      </c>
      <c r="F26" s="292">
        <f>204950*E26</f>
        <v>36891000</v>
      </c>
      <c r="G26" s="292">
        <f>F26</f>
        <v>36891000</v>
      </c>
      <c r="H26" s="89" t="s">
        <v>118</v>
      </c>
      <c r="I26" s="267" t="s">
        <v>231</v>
      </c>
      <c r="J26" s="267" t="s">
        <v>231</v>
      </c>
      <c r="K26" s="358" t="s">
        <v>232</v>
      </c>
    </row>
    <row r="27" spans="1:80" ht="13.5" customHeight="1" x14ac:dyDescent="0.2">
      <c r="A27" s="89">
        <f>A26+1</f>
        <v>2</v>
      </c>
      <c r="B27" s="88"/>
      <c r="C27" s="304" t="s">
        <v>3</v>
      </c>
      <c r="D27" s="305" t="s">
        <v>18</v>
      </c>
      <c r="E27" s="305">
        <v>100</v>
      </c>
      <c r="F27" s="306">
        <v>18407000</v>
      </c>
      <c r="G27" s="306"/>
      <c r="H27" s="89" t="s">
        <v>114</v>
      </c>
      <c r="I27" s="267" t="s">
        <v>233</v>
      </c>
      <c r="J27" s="267" t="s">
        <v>233</v>
      </c>
      <c r="K27" s="358" t="s">
        <v>234</v>
      </c>
    </row>
    <row r="28" spans="1:80" ht="13.5" customHeight="1" x14ac:dyDescent="0.2">
      <c r="A28" s="89">
        <f t="shared" ref="A28:A43" si="2">A27+1</f>
        <v>3</v>
      </c>
      <c r="B28" s="88"/>
      <c r="C28" s="304" t="s">
        <v>3</v>
      </c>
      <c r="D28" s="305" t="s">
        <v>19</v>
      </c>
      <c r="E28" s="305">
        <v>125</v>
      </c>
      <c r="F28" s="306">
        <f>179295*E28</f>
        <v>22411875</v>
      </c>
      <c r="G28" s="306"/>
      <c r="H28" s="89" t="s">
        <v>114</v>
      </c>
      <c r="I28" s="267" t="s">
        <v>233</v>
      </c>
      <c r="J28" s="267" t="s">
        <v>233</v>
      </c>
      <c r="K28" s="358" t="s">
        <v>234</v>
      </c>
    </row>
    <row r="29" spans="1:80" ht="13.5" customHeight="1" x14ac:dyDescent="0.2">
      <c r="A29" s="89">
        <f t="shared" si="2"/>
        <v>4</v>
      </c>
      <c r="B29" s="88"/>
      <c r="C29" s="265" t="s">
        <v>3</v>
      </c>
      <c r="D29" s="213" t="s">
        <v>204</v>
      </c>
      <c r="E29" s="89">
        <v>50</v>
      </c>
      <c r="F29" s="292">
        <f>148065*E29</f>
        <v>7403250</v>
      </c>
      <c r="G29" s="292">
        <f t="shared" ref="G29" si="3">F29</f>
        <v>7403250</v>
      </c>
      <c r="H29" s="89" t="s">
        <v>114</v>
      </c>
      <c r="I29" s="267"/>
      <c r="J29" s="267"/>
      <c r="K29" s="358" t="s">
        <v>235</v>
      </c>
    </row>
    <row r="30" spans="1:80" ht="31.5" customHeight="1" x14ac:dyDescent="0.2">
      <c r="A30" s="89">
        <f t="shared" si="2"/>
        <v>5</v>
      </c>
      <c r="B30" s="212"/>
      <c r="C30" s="307" t="s">
        <v>3</v>
      </c>
      <c r="D30" s="308" t="s">
        <v>18</v>
      </c>
      <c r="E30" s="308">
        <v>50</v>
      </c>
      <c r="F30" s="309">
        <f>183230*E30</f>
        <v>9161500</v>
      </c>
      <c r="G30" s="310">
        <f>F30</f>
        <v>9161500</v>
      </c>
      <c r="H30" s="308" t="s">
        <v>118</v>
      </c>
      <c r="I30" s="311" t="s">
        <v>205</v>
      </c>
      <c r="J30" s="311" t="s">
        <v>236</v>
      </c>
      <c r="K30" s="361" t="s">
        <v>237</v>
      </c>
    </row>
    <row r="31" spans="1:80" ht="13.5" customHeight="1" x14ac:dyDescent="0.2">
      <c r="A31" s="89">
        <f t="shared" si="2"/>
        <v>6</v>
      </c>
      <c r="B31" s="88"/>
      <c r="C31" s="265" t="s">
        <v>3</v>
      </c>
      <c r="D31" s="89" t="s">
        <v>238</v>
      </c>
      <c r="E31" s="89">
        <v>25</v>
      </c>
      <c r="F31" s="292">
        <f>125000*E31</f>
        <v>3125000</v>
      </c>
      <c r="G31" s="292">
        <f>F31</f>
        <v>3125000</v>
      </c>
      <c r="H31" s="89" t="s">
        <v>114</v>
      </c>
      <c r="I31" s="267"/>
      <c r="J31" s="267"/>
      <c r="K31" s="358" t="s">
        <v>239</v>
      </c>
    </row>
    <row r="32" spans="1:80" ht="28.5" customHeight="1" x14ac:dyDescent="0.2">
      <c r="A32" s="295">
        <f t="shared" si="2"/>
        <v>7</v>
      </c>
      <c r="B32" s="88"/>
      <c r="C32" s="296" t="s">
        <v>127</v>
      </c>
      <c r="D32" s="295" t="s">
        <v>26</v>
      </c>
      <c r="E32" s="295">
        <v>50</v>
      </c>
      <c r="F32" s="297">
        <f>E32*194000</f>
        <v>9700000</v>
      </c>
      <c r="G32" s="297">
        <f t="shared" ref="G32:G39" si="4">F32</f>
        <v>9700000</v>
      </c>
      <c r="H32" s="295" t="s">
        <v>118</v>
      </c>
      <c r="I32" s="298" t="s">
        <v>240</v>
      </c>
      <c r="J32" s="296" t="s">
        <v>241</v>
      </c>
      <c r="K32" s="298" t="s">
        <v>242</v>
      </c>
    </row>
    <row r="33" spans="1:11" ht="13.5" customHeight="1" x14ac:dyDescent="0.2">
      <c r="A33" s="89">
        <f t="shared" si="2"/>
        <v>8</v>
      </c>
      <c r="B33" s="88"/>
      <c r="C33" s="312" t="s">
        <v>13</v>
      </c>
      <c r="D33" s="313" t="s">
        <v>243</v>
      </c>
      <c r="E33" s="313">
        <v>15</v>
      </c>
      <c r="F33" s="314">
        <f>237500*E33</f>
        <v>3562500</v>
      </c>
      <c r="G33" s="314">
        <f>F33</f>
        <v>3562500</v>
      </c>
      <c r="H33" s="272" t="s">
        <v>118</v>
      </c>
      <c r="I33" s="267"/>
      <c r="J33" s="267" t="s">
        <v>244</v>
      </c>
      <c r="K33" s="358" t="s">
        <v>245</v>
      </c>
    </row>
    <row r="34" spans="1:11" ht="13.5" customHeight="1" x14ac:dyDescent="0.2">
      <c r="A34" s="89">
        <f t="shared" si="2"/>
        <v>9</v>
      </c>
      <c r="B34" s="88"/>
      <c r="C34" s="265" t="s">
        <v>246</v>
      </c>
      <c r="D34" s="89" t="s">
        <v>149</v>
      </c>
      <c r="E34" s="89">
        <v>100</v>
      </c>
      <c r="F34" s="292">
        <f>296000*E34</f>
        <v>29600000</v>
      </c>
      <c r="G34" s="315">
        <f t="shared" si="4"/>
        <v>29600000</v>
      </c>
      <c r="H34" s="89" t="s">
        <v>118</v>
      </c>
      <c r="I34" s="267"/>
      <c r="J34" s="267" t="s">
        <v>247</v>
      </c>
      <c r="K34" s="358" t="s">
        <v>247</v>
      </c>
    </row>
    <row r="35" spans="1:11" ht="13.5" customHeight="1" x14ac:dyDescent="0.2">
      <c r="A35" s="89">
        <f t="shared" si="2"/>
        <v>10</v>
      </c>
      <c r="B35" s="88"/>
      <c r="C35" s="265" t="s">
        <v>5</v>
      </c>
      <c r="D35" s="89" t="s">
        <v>149</v>
      </c>
      <c r="E35" s="89">
        <v>10</v>
      </c>
      <c r="F35" s="292">
        <f>208500*E35</f>
        <v>2085000</v>
      </c>
      <c r="G35" s="292">
        <f t="shared" si="4"/>
        <v>2085000</v>
      </c>
      <c r="H35" s="89" t="s">
        <v>114</v>
      </c>
      <c r="I35" s="267"/>
      <c r="J35" s="267"/>
      <c r="K35" s="358" t="s">
        <v>248</v>
      </c>
    </row>
    <row r="36" spans="1:11" x14ac:dyDescent="0.2">
      <c r="A36" s="89">
        <f t="shared" si="2"/>
        <v>11</v>
      </c>
      <c r="B36" s="88"/>
      <c r="C36" s="265" t="s">
        <v>249</v>
      </c>
      <c r="D36" s="89"/>
      <c r="E36" s="89">
        <v>200</v>
      </c>
      <c r="F36" s="292">
        <f>24400*E36</f>
        <v>4880000</v>
      </c>
      <c r="G36" s="292">
        <f t="shared" si="4"/>
        <v>4880000</v>
      </c>
      <c r="H36" s="89" t="s">
        <v>118</v>
      </c>
      <c r="I36" s="267" t="s">
        <v>233</v>
      </c>
      <c r="J36" s="267" t="s">
        <v>233</v>
      </c>
      <c r="K36" s="358" t="s">
        <v>250</v>
      </c>
    </row>
    <row r="37" spans="1:11" ht="32" x14ac:dyDescent="0.2">
      <c r="A37" s="295">
        <f t="shared" si="2"/>
        <v>12</v>
      </c>
      <c r="B37" s="88"/>
      <c r="C37" s="307" t="s">
        <v>14</v>
      </c>
      <c r="D37" s="308" t="s">
        <v>219</v>
      </c>
      <c r="E37" s="308">
        <v>102</v>
      </c>
      <c r="F37" s="368">
        <f>107500*E37</f>
        <v>10965000</v>
      </c>
      <c r="G37" s="309"/>
      <c r="H37" s="89" t="s">
        <v>114</v>
      </c>
      <c r="I37" s="267" t="s">
        <v>251</v>
      </c>
      <c r="J37" s="267" t="s">
        <v>233</v>
      </c>
      <c r="K37" s="358" t="s">
        <v>252</v>
      </c>
    </row>
    <row r="38" spans="1:11" x14ac:dyDescent="0.2">
      <c r="A38" s="89">
        <f t="shared" si="2"/>
        <v>13</v>
      </c>
      <c r="B38" s="316"/>
      <c r="C38" s="317" t="s">
        <v>214</v>
      </c>
      <c r="D38" s="318" t="s">
        <v>90</v>
      </c>
      <c r="E38" s="318">
        <v>15</v>
      </c>
      <c r="F38" s="319">
        <f>185700*E38</f>
        <v>2785500</v>
      </c>
      <c r="G38" s="319">
        <f>F38</f>
        <v>2785500</v>
      </c>
      <c r="H38" s="89" t="s">
        <v>118</v>
      </c>
      <c r="I38" s="267" t="s">
        <v>253</v>
      </c>
      <c r="J38" s="267"/>
      <c r="K38" s="358" t="s">
        <v>254</v>
      </c>
    </row>
    <row r="39" spans="1:11" x14ac:dyDescent="0.2">
      <c r="A39" s="89">
        <f t="shared" si="2"/>
        <v>14</v>
      </c>
      <c r="B39" s="320"/>
      <c r="C39" s="317" t="s">
        <v>8</v>
      </c>
      <c r="D39" s="318" t="s">
        <v>26</v>
      </c>
      <c r="E39" s="318">
        <v>22</v>
      </c>
      <c r="F39" s="319">
        <f>E39*185000</f>
        <v>4070000</v>
      </c>
      <c r="G39" s="292">
        <f t="shared" si="4"/>
        <v>4070000</v>
      </c>
      <c r="H39" s="318" t="s">
        <v>118</v>
      </c>
      <c r="I39" s="267"/>
      <c r="J39" s="267"/>
      <c r="K39" s="358" t="s">
        <v>255</v>
      </c>
    </row>
    <row r="40" spans="1:11" x14ac:dyDescent="0.2">
      <c r="A40" s="89">
        <f t="shared" si="2"/>
        <v>15</v>
      </c>
      <c r="B40" s="321"/>
      <c r="C40" s="322" t="s">
        <v>152</v>
      </c>
      <c r="D40" s="323"/>
      <c r="E40" s="323">
        <v>2</v>
      </c>
      <c r="F40" s="324">
        <f>E40*205000</f>
        <v>410000</v>
      </c>
      <c r="G40" s="325">
        <f t="shared" ref="G40" si="5">F40</f>
        <v>410000</v>
      </c>
      <c r="H40" s="318" t="s">
        <v>118</v>
      </c>
      <c r="I40" s="267"/>
      <c r="J40" s="267"/>
      <c r="K40" s="358" t="s">
        <v>256</v>
      </c>
    </row>
    <row r="41" spans="1:11" x14ac:dyDescent="0.2">
      <c r="A41" s="89">
        <f t="shared" si="2"/>
        <v>16</v>
      </c>
      <c r="B41" s="320"/>
      <c r="C41" s="317" t="s">
        <v>9</v>
      </c>
      <c r="D41" s="318" t="s">
        <v>257</v>
      </c>
      <c r="E41" s="318">
        <v>620</v>
      </c>
      <c r="F41" s="243">
        <f>E41*119554</f>
        <v>74123480</v>
      </c>
      <c r="G41" s="292"/>
      <c r="H41" s="318" t="s">
        <v>114</v>
      </c>
      <c r="I41" s="267" t="s">
        <v>258</v>
      </c>
      <c r="J41" s="267"/>
      <c r="K41" s="358"/>
    </row>
    <row r="42" spans="1:11" x14ac:dyDescent="0.2">
      <c r="A42" s="89">
        <f t="shared" si="2"/>
        <v>17</v>
      </c>
      <c r="B42" s="320"/>
      <c r="C42" s="265" t="s">
        <v>246</v>
      </c>
      <c r="D42" s="89" t="s">
        <v>90</v>
      </c>
      <c r="E42" s="318">
        <v>40</v>
      </c>
      <c r="F42" s="243">
        <f>200000*E42</f>
        <v>8000000</v>
      </c>
      <c r="G42" s="292"/>
      <c r="H42" s="318" t="s">
        <v>114</v>
      </c>
      <c r="I42" s="267"/>
      <c r="J42" s="267"/>
      <c r="K42" s="358"/>
    </row>
    <row r="43" spans="1:11" x14ac:dyDescent="0.2">
      <c r="A43" s="89">
        <f t="shared" si="2"/>
        <v>18</v>
      </c>
      <c r="B43" s="320"/>
      <c r="C43" s="265" t="s">
        <v>259</v>
      </c>
      <c r="D43" s="89"/>
      <c r="E43" s="318">
        <v>15</v>
      </c>
      <c r="F43" s="245">
        <f>20400*E43</f>
        <v>306000</v>
      </c>
      <c r="G43" s="292">
        <f>F43</f>
        <v>306000</v>
      </c>
      <c r="H43" s="318" t="s">
        <v>118</v>
      </c>
      <c r="I43" s="267"/>
      <c r="J43" s="267"/>
      <c r="K43" s="358"/>
    </row>
    <row r="44" spans="1:11" ht="15" x14ac:dyDescent="0.2">
      <c r="A44" s="177"/>
      <c r="B44" s="338"/>
      <c r="C44" s="338"/>
      <c r="D44" s="177"/>
      <c r="E44" s="177"/>
      <c r="F44" s="339"/>
      <c r="G44" s="339"/>
      <c r="H44" s="177"/>
      <c r="I44" s="340"/>
      <c r="J44" s="340"/>
      <c r="K44" s="359"/>
    </row>
    <row r="45" spans="1:11" x14ac:dyDescent="0.2">
      <c r="A45" s="333"/>
      <c r="B45" s="182"/>
      <c r="C45" s="333" t="s">
        <v>230</v>
      </c>
      <c r="D45" s="333"/>
      <c r="E45" s="334">
        <f>(SUM(E26:E44))</f>
        <v>1721</v>
      </c>
      <c r="F45" s="335">
        <f>SUM(F26:F43)</f>
        <v>247887105</v>
      </c>
      <c r="G45" s="335">
        <f>SUM(G26:G43)</f>
        <v>113979750</v>
      </c>
      <c r="H45" s="336"/>
      <c r="I45" s="182"/>
      <c r="J45" s="182"/>
      <c r="K45" s="360"/>
    </row>
    <row r="46" spans="1:11" x14ac:dyDescent="0.2">
      <c r="A46" s="326"/>
      <c r="B46" s="341">
        <v>46082</v>
      </c>
      <c r="C46" s="327"/>
      <c r="D46" s="328"/>
      <c r="E46" s="328"/>
      <c r="F46" s="342"/>
      <c r="G46" s="342"/>
      <c r="H46" s="328"/>
      <c r="I46" s="327"/>
      <c r="J46" s="327"/>
      <c r="K46" s="356"/>
    </row>
    <row r="47" spans="1:11" ht="13.5" customHeight="1" x14ac:dyDescent="0.2">
      <c r="A47" s="89">
        <v>1</v>
      </c>
      <c r="B47" s="87"/>
      <c r="C47" s="244" t="s">
        <v>201</v>
      </c>
      <c r="D47" s="213" t="s">
        <v>18</v>
      </c>
      <c r="E47" s="213">
        <v>200</v>
      </c>
      <c r="F47" s="245">
        <f>204950*E47</f>
        <v>40990000</v>
      </c>
      <c r="G47" s="245">
        <f>F47</f>
        <v>40990000</v>
      </c>
      <c r="H47" s="89" t="s">
        <v>114</v>
      </c>
      <c r="I47" s="89" t="s">
        <v>260</v>
      </c>
      <c r="J47" s="89" t="s">
        <v>260</v>
      </c>
      <c r="K47" s="362" t="s">
        <v>260</v>
      </c>
    </row>
    <row r="48" spans="1:11" ht="13.5" customHeight="1" x14ac:dyDescent="0.2">
      <c r="A48" s="89">
        <f>A47+1</f>
        <v>2</v>
      </c>
      <c r="B48" s="88"/>
      <c r="C48" s="244" t="s">
        <v>3</v>
      </c>
      <c r="D48" s="213" t="s">
        <v>18</v>
      </c>
      <c r="E48" s="213">
        <v>250</v>
      </c>
      <c r="F48" s="243">
        <v>18407000</v>
      </c>
      <c r="G48" s="243"/>
      <c r="H48" s="89" t="s">
        <v>114</v>
      </c>
      <c r="I48" s="89" t="s">
        <v>261</v>
      </c>
      <c r="J48" s="89" t="s">
        <v>261</v>
      </c>
      <c r="K48" s="362" t="s">
        <v>261</v>
      </c>
    </row>
    <row r="49" spans="1:11" ht="13.5" customHeight="1" x14ac:dyDescent="0.2">
      <c r="A49" s="89">
        <f t="shared" ref="A49:A63" si="6">A48+1</f>
        <v>3</v>
      </c>
      <c r="B49" s="88"/>
      <c r="C49" s="244" t="s">
        <v>3</v>
      </c>
      <c r="D49" s="213" t="s">
        <v>19</v>
      </c>
      <c r="E49" s="213">
        <v>100</v>
      </c>
      <c r="F49" s="243">
        <v>28660500</v>
      </c>
      <c r="G49" s="243"/>
      <c r="H49" s="89" t="s">
        <v>114</v>
      </c>
      <c r="I49" s="89" t="s">
        <v>261</v>
      </c>
      <c r="J49" s="89" t="s">
        <v>261</v>
      </c>
      <c r="K49" s="362" t="s">
        <v>261</v>
      </c>
    </row>
    <row r="50" spans="1:11" ht="13.5" customHeight="1" x14ac:dyDescent="0.2">
      <c r="A50" s="89">
        <f t="shared" si="6"/>
        <v>4</v>
      </c>
      <c r="B50" s="88"/>
      <c r="C50" s="265" t="s">
        <v>9</v>
      </c>
      <c r="D50" s="89" t="s">
        <v>262</v>
      </c>
      <c r="E50" s="89">
        <v>50</v>
      </c>
      <c r="F50" s="291">
        <f>E50*34454</f>
        <v>1722700</v>
      </c>
      <c r="G50" s="292">
        <f>F50</f>
        <v>1722700</v>
      </c>
      <c r="H50" s="89" t="s">
        <v>118</v>
      </c>
      <c r="I50" s="89"/>
      <c r="J50" s="89"/>
      <c r="K50" s="362"/>
    </row>
    <row r="51" spans="1:11" ht="13.5" customHeight="1" x14ac:dyDescent="0.2">
      <c r="A51" s="89">
        <f t="shared" si="6"/>
        <v>5</v>
      </c>
      <c r="B51" s="88"/>
      <c r="C51" s="265" t="s">
        <v>9</v>
      </c>
      <c r="D51" s="89" t="s">
        <v>263</v>
      </c>
      <c r="E51" s="89">
        <v>620</v>
      </c>
      <c r="F51" s="291">
        <f>11500*E51</f>
        <v>7130000</v>
      </c>
      <c r="G51" s="292">
        <f>F51</f>
        <v>7130000</v>
      </c>
      <c r="H51" s="89" t="s">
        <v>118</v>
      </c>
      <c r="I51" s="293"/>
      <c r="J51" s="89"/>
      <c r="K51" s="362"/>
    </row>
    <row r="52" spans="1:11" ht="13.5" customHeight="1" x14ac:dyDescent="0.2">
      <c r="A52" s="89">
        <f t="shared" si="6"/>
        <v>6</v>
      </c>
      <c r="B52" s="88"/>
      <c r="C52" s="271" t="s">
        <v>13</v>
      </c>
      <c r="D52" s="272" t="s">
        <v>243</v>
      </c>
      <c r="E52" s="272">
        <v>53</v>
      </c>
      <c r="F52" s="273">
        <v>5451000</v>
      </c>
      <c r="G52" s="273">
        <f>F52</f>
        <v>5451000</v>
      </c>
      <c r="H52" s="272" t="s">
        <v>118</v>
      </c>
      <c r="I52" s="89"/>
      <c r="J52" s="89"/>
      <c r="K52" s="362"/>
    </row>
    <row r="53" spans="1:11" ht="13.5" customHeight="1" x14ac:dyDescent="0.2">
      <c r="A53" s="89">
        <f t="shared" si="6"/>
        <v>7</v>
      </c>
      <c r="B53" s="88"/>
      <c r="C53" s="244" t="s">
        <v>246</v>
      </c>
      <c r="D53" s="213" t="s">
        <v>149</v>
      </c>
      <c r="E53" s="213">
        <v>350</v>
      </c>
      <c r="F53" s="245">
        <f>296000*E53</f>
        <v>103600000</v>
      </c>
      <c r="G53" s="245">
        <f t="shared" ref="G53:G54" si="7">F53</f>
        <v>103600000</v>
      </c>
      <c r="H53" s="89" t="s">
        <v>114</v>
      </c>
      <c r="I53" s="89"/>
      <c r="J53" s="89"/>
      <c r="K53" s="362"/>
    </row>
    <row r="54" spans="1:11" ht="13.5" customHeight="1" x14ac:dyDescent="0.2">
      <c r="A54" s="89">
        <f t="shared" si="6"/>
        <v>8</v>
      </c>
      <c r="B54" s="88"/>
      <c r="C54" s="244" t="s">
        <v>5</v>
      </c>
      <c r="D54" s="213" t="s">
        <v>149</v>
      </c>
      <c r="E54" s="213">
        <v>400</v>
      </c>
      <c r="F54" s="245">
        <f>208500*E54</f>
        <v>83400000</v>
      </c>
      <c r="G54" s="245">
        <f t="shared" si="7"/>
        <v>83400000</v>
      </c>
      <c r="H54" s="89" t="s">
        <v>114</v>
      </c>
      <c r="I54" s="265"/>
      <c r="J54" s="265"/>
      <c r="K54" s="363"/>
    </row>
    <row r="55" spans="1:11" ht="13.5" customHeight="1" x14ac:dyDescent="0.2">
      <c r="A55" s="89">
        <f t="shared" si="6"/>
        <v>9</v>
      </c>
      <c r="B55" s="88"/>
      <c r="C55" s="241" t="s">
        <v>264</v>
      </c>
      <c r="D55" s="242" t="s">
        <v>90</v>
      </c>
      <c r="E55" s="242">
        <v>60</v>
      </c>
      <c r="F55" s="243">
        <f>200000*E55</f>
        <v>12000000</v>
      </c>
      <c r="G55" s="243"/>
      <c r="H55" s="89" t="s">
        <v>114</v>
      </c>
      <c r="I55" s="89" t="s">
        <v>265</v>
      </c>
      <c r="J55" s="89" t="s">
        <v>265</v>
      </c>
      <c r="K55" s="362" t="s">
        <v>265</v>
      </c>
    </row>
    <row r="56" spans="1:11" ht="13.5" customHeight="1" x14ac:dyDescent="0.2">
      <c r="A56" s="89">
        <f t="shared" si="6"/>
        <v>10</v>
      </c>
      <c r="B56" s="88"/>
      <c r="C56" s="265" t="s">
        <v>134</v>
      </c>
      <c r="D56" s="89" t="s">
        <v>266</v>
      </c>
      <c r="E56" s="89">
        <v>152</v>
      </c>
      <c r="F56" s="292">
        <v>16720000</v>
      </c>
      <c r="G56" s="292">
        <f>F56</f>
        <v>16720000</v>
      </c>
      <c r="H56" s="89" t="s">
        <v>118</v>
      </c>
      <c r="I56" s="89"/>
      <c r="J56" s="89"/>
      <c r="K56" s="362"/>
    </row>
    <row r="57" spans="1:11" ht="13.5" customHeight="1" x14ac:dyDescent="0.2">
      <c r="A57" s="89">
        <f t="shared" si="6"/>
        <v>11</v>
      </c>
      <c r="B57" s="294"/>
      <c r="C57" s="241" t="s">
        <v>214</v>
      </c>
      <c r="D57" s="242" t="s">
        <v>90</v>
      </c>
      <c r="E57" s="242">
        <v>45</v>
      </c>
      <c r="F57" s="243">
        <f>185000*E57</f>
        <v>8325000</v>
      </c>
      <c r="G57" s="243"/>
      <c r="H57" s="89" t="s">
        <v>118</v>
      </c>
      <c r="I57" s="89" t="s">
        <v>215</v>
      </c>
      <c r="J57" s="89" t="s">
        <v>215</v>
      </c>
      <c r="K57" s="362" t="s">
        <v>215</v>
      </c>
    </row>
    <row r="58" spans="1:11" ht="13.5" customHeight="1" x14ac:dyDescent="0.2">
      <c r="A58" s="89">
        <f t="shared" si="6"/>
        <v>12</v>
      </c>
      <c r="B58" s="88"/>
      <c r="C58" s="271" t="s">
        <v>14</v>
      </c>
      <c r="D58" s="272" t="s">
        <v>219</v>
      </c>
      <c r="E58" s="272">
        <v>323</v>
      </c>
      <c r="F58" s="273">
        <f>100750*E58</f>
        <v>32542250</v>
      </c>
      <c r="G58" s="273">
        <f>F58</f>
        <v>32542250</v>
      </c>
      <c r="H58" s="89" t="s">
        <v>114</v>
      </c>
      <c r="I58" s="89"/>
      <c r="J58" s="89"/>
      <c r="K58" s="362"/>
    </row>
    <row r="59" spans="1:11" ht="13.5" customHeight="1" x14ac:dyDescent="0.2">
      <c r="A59" s="89">
        <f t="shared" si="6"/>
        <v>13</v>
      </c>
      <c r="B59" s="88"/>
      <c r="C59" s="244" t="s">
        <v>246</v>
      </c>
      <c r="D59" s="213" t="s">
        <v>23</v>
      </c>
      <c r="E59" s="213">
        <v>85</v>
      </c>
      <c r="F59" s="245">
        <f>E59*100000</f>
        <v>8500000</v>
      </c>
      <c r="G59" s="245">
        <f>F59</f>
        <v>8500000</v>
      </c>
      <c r="H59" s="213" t="s">
        <v>118</v>
      </c>
      <c r="I59" s="89"/>
      <c r="J59" s="89"/>
      <c r="K59" s="362"/>
    </row>
    <row r="60" spans="1:11" ht="13.5" customHeight="1" x14ac:dyDescent="0.2">
      <c r="A60" s="89">
        <f t="shared" si="6"/>
        <v>14</v>
      </c>
      <c r="B60" s="88"/>
      <c r="C60" s="244" t="s">
        <v>157</v>
      </c>
      <c r="D60" s="213" t="s">
        <v>267</v>
      </c>
      <c r="E60" s="213">
        <v>2</v>
      </c>
      <c r="F60" s="245">
        <f>25000*E60</f>
        <v>50000</v>
      </c>
      <c r="G60" s="245">
        <f>F60</f>
        <v>50000</v>
      </c>
      <c r="H60" s="89" t="s">
        <v>114</v>
      </c>
      <c r="I60" s="89"/>
      <c r="J60" s="89"/>
      <c r="K60" s="362"/>
    </row>
    <row r="61" spans="1:11" ht="25.5" customHeight="1" x14ac:dyDescent="0.2">
      <c r="A61" s="295">
        <f t="shared" si="6"/>
        <v>15</v>
      </c>
      <c r="B61" s="88"/>
      <c r="C61" s="296" t="s">
        <v>127</v>
      </c>
      <c r="D61" s="295" t="s">
        <v>26</v>
      </c>
      <c r="E61" s="295">
        <v>70</v>
      </c>
      <c r="F61" s="297">
        <f>E61*194000</f>
        <v>13580000</v>
      </c>
      <c r="G61" s="297">
        <f t="shared" ref="G61" si="8">F61</f>
        <v>13580000</v>
      </c>
      <c r="H61" s="295" t="s">
        <v>118</v>
      </c>
      <c r="I61" s="298" t="s">
        <v>240</v>
      </c>
      <c r="J61" s="296" t="s">
        <v>268</v>
      </c>
      <c r="K61" s="298" t="s">
        <v>268</v>
      </c>
    </row>
    <row r="62" spans="1:11" ht="25.5" customHeight="1" x14ac:dyDescent="0.2">
      <c r="A62" s="295">
        <f t="shared" si="6"/>
        <v>16</v>
      </c>
      <c r="B62" s="88"/>
      <c r="C62" s="296" t="s">
        <v>15</v>
      </c>
      <c r="D62" s="295" t="s">
        <v>29</v>
      </c>
      <c r="E62" s="295">
        <v>50</v>
      </c>
      <c r="F62" s="297">
        <f>112960*E62</f>
        <v>5648000</v>
      </c>
      <c r="G62" s="297">
        <f>F62</f>
        <v>5648000</v>
      </c>
      <c r="H62" s="295"/>
      <c r="I62" s="298"/>
      <c r="J62" s="296"/>
      <c r="K62" s="298"/>
    </row>
    <row r="63" spans="1:11" ht="25.5" customHeight="1" x14ac:dyDescent="0.2">
      <c r="A63" s="295">
        <f t="shared" si="6"/>
        <v>17</v>
      </c>
      <c r="B63" s="88"/>
      <c r="C63" s="244" t="s">
        <v>246</v>
      </c>
      <c r="D63" s="213" t="s">
        <v>269</v>
      </c>
      <c r="E63" s="213">
        <v>20</v>
      </c>
      <c r="F63" s="245">
        <f>E63*204000</f>
        <v>4080000</v>
      </c>
      <c r="G63" s="245">
        <f>F63</f>
        <v>4080000</v>
      </c>
      <c r="H63" s="213" t="s">
        <v>118</v>
      </c>
      <c r="I63" s="89"/>
      <c r="J63" s="89"/>
      <c r="K63" s="362"/>
    </row>
    <row r="64" spans="1:11" x14ac:dyDescent="0.2">
      <c r="A64" s="352"/>
      <c r="B64" s="338"/>
      <c r="C64" s="338"/>
      <c r="D64" s="177"/>
      <c r="E64" s="177"/>
      <c r="F64" s="339"/>
      <c r="G64" s="339"/>
      <c r="H64" s="177"/>
      <c r="I64" s="338"/>
      <c r="J64" s="338"/>
      <c r="K64" s="364"/>
    </row>
    <row r="65" spans="1:12" x14ac:dyDescent="0.2">
      <c r="A65" s="333"/>
      <c r="B65" s="182"/>
      <c r="C65" s="333" t="s">
        <v>230</v>
      </c>
      <c r="D65" s="333"/>
      <c r="E65" s="334">
        <f>(SUM(E47:E56))</f>
        <v>2235</v>
      </c>
      <c r="F65" s="335">
        <f>SUM(F47:F63)</f>
        <v>390806450</v>
      </c>
      <c r="G65" s="335">
        <f>SUM(G47:G63)</f>
        <v>323413950</v>
      </c>
      <c r="H65" s="336"/>
      <c r="I65" s="182"/>
      <c r="J65" s="182"/>
      <c r="K65" s="360"/>
      <c r="L65" s="299"/>
    </row>
    <row r="66" spans="1:12" x14ac:dyDescent="0.2">
      <c r="A66" s="330"/>
      <c r="B66" s="343"/>
      <c r="C66" s="343"/>
      <c r="D66" s="344"/>
      <c r="E66" s="344"/>
      <c r="F66" s="345"/>
      <c r="G66" s="345"/>
      <c r="H66" s="344"/>
      <c r="I66" s="343"/>
      <c r="J66" s="343"/>
      <c r="K66" s="365"/>
    </row>
    <row r="67" spans="1:12" ht="15.75" hidden="1" customHeight="1" x14ac:dyDescent="0.2">
      <c r="A67" s="330"/>
      <c r="B67" s="343"/>
      <c r="C67" s="330" t="s">
        <v>270</v>
      </c>
      <c r="D67" s="330"/>
      <c r="E67" s="344"/>
      <c r="F67" s="346">
        <v>206156619.02000001</v>
      </c>
      <c r="G67" s="346"/>
      <c r="H67" s="347">
        <f>F67-I67</f>
        <v>-103843380.97999999</v>
      </c>
      <c r="I67" s="346">
        <v>310000000</v>
      </c>
      <c r="J67" s="346">
        <v>310000000</v>
      </c>
      <c r="K67" s="366">
        <v>310000000</v>
      </c>
    </row>
    <row r="68" spans="1:12" ht="15.75" hidden="1" customHeight="1" x14ac:dyDescent="0.2">
      <c r="A68" s="330"/>
      <c r="B68" s="343"/>
      <c r="C68" s="330" t="s">
        <v>271</v>
      </c>
      <c r="D68" s="330"/>
      <c r="E68" s="344"/>
      <c r="F68" s="346">
        <v>93502853</v>
      </c>
      <c r="G68" s="346"/>
      <c r="H68" s="347"/>
      <c r="I68" s="346"/>
      <c r="J68" s="346"/>
      <c r="K68" s="366"/>
    </row>
    <row r="69" spans="1:12" ht="16.5" hidden="1" customHeight="1" x14ac:dyDescent="0.2">
      <c r="A69" s="330"/>
      <c r="B69" s="343"/>
      <c r="C69" s="330" t="s">
        <v>272</v>
      </c>
      <c r="D69" s="330"/>
      <c r="E69" s="344">
        <v>100</v>
      </c>
      <c r="F69" s="348">
        <f>F68+21247500</f>
        <v>114750353</v>
      </c>
      <c r="G69" s="348"/>
      <c r="H69" s="347">
        <f>F69-I69</f>
        <v>-95249647</v>
      </c>
      <c r="I69" s="346">
        <v>210000000</v>
      </c>
      <c r="J69" s="346">
        <v>210000000</v>
      </c>
      <c r="K69" s="366">
        <v>210000000</v>
      </c>
    </row>
    <row r="70" spans="1:12" x14ac:dyDescent="0.2">
      <c r="A70" s="330"/>
      <c r="B70" s="343"/>
      <c r="C70" s="330" t="s">
        <v>273</v>
      </c>
      <c r="D70" s="330"/>
      <c r="E70" s="344"/>
      <c r="F70" s="348">
        <v>358566000</v>
      </c>
      <c r="G70" s="348">
        <v>369566000</v>
      </c>
      <c r="H70" s="347">
        <f>F70-I70</f>
        <v>-161434000</v>
      </c>
      <c r="I70" s="346">
        <f>I67+I69</f>
        <v>520000000</v>
      </c>
      <c r="J70" s="346">
        <f>J67+J69</f>
        <v>520000000</v>
      </c>
      <c r="K70" s="366">
        <f>K67+K69</f>
        <v>520000000</v>
      </c>
      <c r="L70" s="299"/>
    </row>
    <row r="71" spans="1:12" x14ac:dyDescent="0.2">
      <c r="A71" s="330"/>
      <c r="B71" s="343"/>
      <c r="C71" s="330" t="s">
        <v>274</v>
      </c>
      <c r="D71" s="330"/>
      <c r="E71" s="344">
        <f>E24+E45+E65</f>
        <v>4301</v>
      </c>
      <c r="F71" s="348">
        <f>F24+F45+F65</f>
        <v>676728170</v>
      </c>
      <c r="G71" s="348">
        <f>G24+G45+G65</f>
        <v>477696204</v>
      </c>
      <c r="H71" s="347">
        <f>F71-I71</f>
        <v>440728170</v>
      </c>
      <c r="I71" s="346">
        <v>236000000</v>
      </c>
      <c r="J71" s="346">
        <v>236000000</v>
      </c>
      <c r="K71" s="366">
        <v>236000000</v>
      </c>
      <c r="L71" s="299"/>
    </row>
    <row r="72" spans="1:12" s="68" customFormat="1" x14ac:dyDescent="0.2">
      <c r="A72" s="333"/>
      <c r="B72" s="182"/>
      <c r="C72" s="333" t="s">
        <v>275</v>
      </c>
      <c r="D72" s="333"/>
      <c r="E72" s="349">
        <f>E69+E71</f>
        <v>4401</v>
      </c>
      <c r="F72" s="335">
        <f>F70+F71</f>
        <v>1035294170</v>
      </c>
      <c r="G72" s="335">
        <f>G70+G71</f>
        <v>847262204</v>
      </c>
      <c r="H72" s="350">
        <f>F72-I72</f>
        <v>279294170</v>
      </c>
      <c r="I72" s="351">
        <f>I70+I71</f>
        <v>756000000</v>
      </c>
      <c r="J72" s="351">
        <f>J70+J71</f>
        <v>756000000</v>
      </c>
      <c r="K72" s="367">
        <f>K70+K71</f>
        <v>756000000</v>
      </c>
      <c r="L72" s="299"/>
    </row>
  </sheetData>
  <autoFilter ref="A4:J72" xr:uid="{AFF85C4B-5EFA-4BC1-8518-BB5045BF1719}"/>
  <mergeCells count="1"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 &amp; Deliveries</vt:lpstr>
      <vt:lpstr>Prospects 25-26 Sales</vt:lpstr>
      <vt:lpstr>For Production Planning0702026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Bidave</dc:creator>
  <cp:keywords/>
  <dc:description/>
  <cp:lastModifiedBy>Prasad Krishnamurthy</cp:lastModifiedBy>
  <cp:revision/>
  <dcterms:created xsi:type="dcterms:W3CDTF">2025-07-10T04:13:12Z</dcterms:created>
  <dcterms:modified xsi:type="dcterms:W3CDTF">2026-02-13T09:20:55Z</dcterms:modified>
  <cp:category/>
  <cp:contentStatus/>
</cp:coreProperties>
</file>