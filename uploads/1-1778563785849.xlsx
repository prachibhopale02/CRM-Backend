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roject\CRM\"/>
    </mc:Choice>
  </mc:AlternateContent>
  <xr:revisionPtr revIDLastSave="0" documentId="13_ncr:1_{9AC8EB0C-14C1-4910-9DEC-C16C9DCED0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ka_12M Citea seater PH II" sheetId="11" r:id="rId1"/>
    <sheet name="Sheet1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2" l="1"/>
  <c r="G7" i="12"/>
  <c r="F7" i="12"/>
  <c r="G5" i="12"/>
  <c r="G4" i="12"/>
  <c r="D7" i="12"/>
  <c r="E5" i="12"/>
  <c r="H5" i="12" s="1"/>
  <c r="I5" i="12" s="1"/>
  <c r="E4" i="12"/>
  <c r="H41" i="11"/>
  <c r="H40" i="11"/>
  <c r="H39" i="11"/>
  <c r="H34" i="11"/>
  <c r="H35" i="11"/>
  <c r="H36" i="11"/>
  <c r="H37" i="11"/>
  <c r="H38" i="11"/>
  <c r="H42" i="11"/>
  <c r="H43" i="11"/>
  <c r="H44" i="11"/>
  <c r="H33" i="11"/>
  <c r="H4" i="12" l="1"/>
  <c r="E7" i="12"/>
  <c r="H45" i="11"/>
  <c r="H48" i="11" s="1"/>
  <c r="H7" i="12" l="1"/>
  <c r="I4" i="12"/>
  <c r="H49" i="11"/>
</calcChain>
</file>

<file path=xl/sharedStrings.xml><?xml version="1.0" encoding="utf-8"?>
<sst xmlns="http://schemas.openxmlformats.org/spreadsheetml/2006/main" count="111" uniqueCount="107">
  <si>
    <t>CHEMITO INFOTECH PVT. LTD.</t>
  </si>
  <si>
    <t>Internal Order Form</t>
  </si>
  <si>
    <t>IOF No.</t>
  </si>
  <si>
    <t>Date</t>
  </si>
  <si>
    <t>From :-</t>
  </si>
  <si>
    <t>To :-</t>
  </si>
  <si>
    <t>Name &amp; Address of Customer</t>
  </si>
  <si>
    <t>Contact Person</t>
  </si>
  <si>
    <t>Email ID of Contact person</t>
  </si>
  <si>
    <t>Phone No. of contact person:</t>
  </si>
  <si>
    <t xml:space="preserve">GSTIN No </t>
  </si>
  <si>
    <t>PAN No.</t>
  </si>
  <si>
    <t>Customer PO. No</t>
  </si>
  <si>
    <t>PO Date</t>
  </si>
  <si>
    <t>Terms &amp; Conditions :-</t>
  </si>
  <si>
    <t>Particular</t>
  </si>
  <si>
    <t>Details</t>
  </si>
  <si>
    <t>Price terms</t>
  </si>
  <si>
    <t>FAT YES/NO - if yes details</t>
  </si>
  <si>
    <t>NA</t>
  </si>
  <si>
    <t>PBG/ABG/EMD</t>
  </si>
  <si>
    <t>Packing Type /Domestic / Export -By Sea or Air, special instructions if any</t>
  </si>
  <si>
    <t>Payment Terms:</t>
  </si>
  <si>
    <t>Delivery Schedule/Delivery Period</t>
  </si>
  <si>
    <t>Delivery Address:</t>
  </si>
  <si>
    <t>Installation &amp; Commissioning:</t>
  </si>
  <si>
    <t>Software Version/Notes:</t>
  </si>
  <si>
    <t>Special Instruction:</t>
  </si>
  <si>
    <t>Certification &amp; Standard</t>
  </si>
  <si>
    <t>Warranty:</t>
  </si>
  <si>
    <t>Order details</t>
  </si>
  <si>
    <t>Sr. No.</t>
  </si>
  <si>
    <t>Product Description</t>
  </si>
  <si>
    <t>Qty (Nos)</t>
  </si>
  <si>
    <t>Basic Rate per Unit</t>
  </si>
  <si>
    <t>Packing charges</t>
  </si>
  <si>
    <t>Inclusive</t>
  </si>
  <si>
    <t>Freight charges including insurance</t>
  </si>
  <si>
    <t>Grand total</t>
  </si>
  <si>
    <t>Sales- Bhavesh Jivani</t>
  </si>
  <si>
    <t>Production/ Engg</t>
  </si>
  <si>
    <t>Total</t>
  </si>
  <si>
    <t>27AAFCI3261B1ZY</t>
  </si>
  <si>
    <t>AAFCI3261B</t>
  </si>
  <si>
    <t>Domestic road worthy kit packing (Not individual parts wise)</t>
  </si>
  <si>
    <t>45 days from GRN at customer end</t>
  </si>
  <si>
    <t>In Eka Scope, testing, commissioning and route making/uploading in Chemito scope</t>
  </si>
  <si>
    <t>UBS II / 16490 / 16833</t>
  </si>
  <si>
    <t>72 months on site from the GRN date</t>
  </si>
  <si>
    <t>HSN Code</t>
  </si>
  <si>
    <t>CGST/ SGST / IGST</t>
  </si>
  <si>
    <t>Strictly as per customer approval</t>
  </si>
  <si>
    <t>PLANT / BILLING ADDRESS:Gat No. 330 &amp; 334, Nanekarwadi,,
 Chakan, Khed, Pune, Chakan,,Pune, Maharashtra,410501
 INDIA .
 GSTIN: 27AAFCI3261B1ZY</t>
  </si>
  <si>
    <t>Vendor Code- GVC90029</t>
  </si>
  <si>
    <t>PLANT / BILLING ADDRESS:Gat No. 330 &amp; 334, Nanekarwadi,,
 Chakan, Khed, Pune, Chakan,,Pune, Maharashtra,410501
 INDIA .</t>
  </si>
  <si>
    <t>FOR EKA Chakan pune plant</t>
  </si>
  <si>
    <t>End User(Customer)</t>
  </si>
  <si>
    <t>Project</t>
  </si>
  <si>
    <t>Expected Qty</t>
  </si>
  <si>
    <t>Time periof of expected qty</t>
  </si>
  <si>
    <t>TOUCH SCREEN DISPLAY</t>
  </si>
  <si>
    <t>REVERSE CAMERA</t>
  </si>
  <si>
    <t>P0023452-22</t>
  </si>
  <si>
    <t>P0023453-22</t>
  </si>
  <si>
    <t>MICROPHONE</t>
  </si>
  <si>
    <t>P0023454-22</t>
  </si>
  <si>
    <t>HOOTER WITH FLASHER</t>
  </si>
  <si>
    <t>P0023456-22</t>
  </si>
  <si>
    <t>P0023736-22</t>
  </si>
  <si>
    <t>Different State Transport Units</t>
  </si>
  <si>
    <t>BY FY 2026-27</t>
  </si>
  <si>
    <t>P0023444-22</t>
  </si>
  <si>
    <t>P0023447-22</t>
  </si>
  <si>
    <t>P0023450-22</t>
  </si>
  <si>
    <t>IP CAMERA-5MP</t>
  </si>
  <si>
    <t>SPEAKER</t>
  </si>
  <si>
    <t>P0023457-22</t>
  </si>
  <si>
    <t>Customer Product Code</t>
  </si>
  <si>
    <t>P0023734-22</t>
  </si>
  <si>
    <t>GPS, LTE, WIFI ANTENNA</t>
  </si>
  <si>
    <t>P0028028-22</t>
  </si>
  <si>
    <t>P0028007-22</t>
  </si>
  <si>
    <t>10.03.2026</t>
  </si>
  <si>
    <t>Mr. Akash Tyagi</t>
  </si>
  <si>
    <t>Akash Tyagi &lt;akash.tyagi@ekamobility.com&gt;</t>
  </si>
  <si>
    <t>CIPL/IOF/03-26/BJ/05 - Homologation Kits</t>
  </si>
  <si>
    <t>Homologation Kits</t>
  </si>
  <si>
    <t>PM E drive</t>
  </si>
  <si>
    <t>FRONT, SIDE &amp; REAR DISPLAY - 900MMX200MM</t>
  </si>
  <si>
    <t>INBUS DISPLAY BOARD- 840MM X 100MM</t>
  </si>
  <si>
    <t>APC MASTER</t>
  </si>
  <si>
    <t>APC SLAVE WITH PON SWITCH</t>
  </si>
  <si>
    <t>ON BOARD UNIT(MNVR) ESIM &amp; 1 TB SSD</t>
  </si>
  <si>
    <t>BOM</t>
  </si>
  <si>
    <t>OBU 7.1 with E-SIM</t>
  </si>
  <si>
    <t>Qty.</t>
  </si>
  <si>
    <t>Unit Price</t>
  </si>
  <si>
    <t>Total Price</t>
  </si>
  <si>
    <t>1 TB SSD</t>
  </si>
  <si>
    <t>TOTAL</t>
  </si>
  <si>
    <t>Description</t>
  </si>
  <si>
    <t>SALES</t>
  </si>
  <si>
    <t>Unit Cost</t>
  </si>
  <si>
    <t>Total Cost</t>
  </si>
  <si>
    <t>Margin</t>
  </si>
  <si>
    <t>Margin%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</si>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</sst>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F800]dddd\,\ mmmm\ dd\,\ yyyy"/>
    <numFmt numFmtId="166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546A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0" fillId="0" borderId="1" xfId="1" applyFont="1" applyBorder="1"/>
    <xf numFmtId="0" fontId="0" fillId="0" borderId="1" xfId="0" applyBorder="1"/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1" applyFont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3" fontId="0" fillId="0" borderId="1" xfId="0" applyNumberForma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7" fillId="3" borderId="1" xfId="8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7" fillId="3" borderId="1" xfId="8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2" fillId="4" borderId="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8" xfId="0" applyFill="1" applyBorder="1"/>
    <xf numFmtId="0" fontId="0" fillId="4" borderId="0" xfId="0" applyFill="1"/>
    <xf numFmtId="164" fontId="0" fillId="4" borderId="0" xfId="1" applyFont="1" applyFill="1" applyBorder="1"/>
    <xf numFmtId="164" fontId="0" fillId="4" borderId="9" xfId="1" applyFon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2" fillId="5" borderId="8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0" fillId="5" borderId="8" xfId="0" applyFill="1" applyBorder="1"/>
    <xf numFmtId="0" fontId="0" fillId="5" borderId="0" xfId="0" applyFill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164" fontId="0" fillId="5" borderId="0" xfId="0" applyNumberFormat="1" applyFill="1"/>
    <xf numFmtId="10" fontId="0" fillId="5" borderId="9" xfId="9" applyNumberFormat="1" applyFont="1" applyFill="1" applyBorder="1"/>
    <xf numFmtId="0" fontId="2" fillId="0" borderId="14" xfId="0" applyFont="1" applyBorder="1"/>
    <xf numFmtId="0" fontId="2" fillId="4" borderId="8" xfId="0" applyFont="1" applyFill="1" applyBorder="1"/>
    <xf numFmtId="0" fontId="2" fillId="4" borderId="0" xfId="0" applyFont="1" applyFill="1"/>
    <xf numFmtId="164" fontId="2" fillId="4" borderId="0" xfId="1" applyFont="1" applyFill="1" applyBorder="1"/>
    <xf numFmtId="164" fontId="2" fillId="4" borderId="9" xfId="1" applyFont="1" applyFill="1" applyBorder="1"/>
    <xf numFmtId="0" fontId="2" fillId="5" borderId="8" xfId="0" applyFont="1" applyFill="1" applyBorder="1"/>
    <xf numFmtId="10" fontId="2" fillId="5" borderId="9" xfId="9" applyNumberFormat="1" applyFont="1" applyFill="1" applyBorder="1"/>
    <xf numFmtId="0" fontId="2" fillId="0" borderId="0" xfId="0" applyFont="1"/>
    <xf numFmtId="0" fontId="2" fillId="0" borderId="13" xfId="0" applyFont="1" applyBorder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center"/>
    </xf>
    <xf numFmtId="0" fontId="3" fillId="3" borderId="1" xfId="3" quotePrefix="1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top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0">
    <cellStyle name="Comma" xfId="1" builtinId="3"/>
    <cellStyle name="Comma 2" xfId="2" xr:uid="{00000000-0005-0000-0000-000001000000}"/>
    <cellStyle name="Comma 2 2" xfId="6" xr:uid="{C94E95B2-F25C-42E7-8723-0A1FB5C2F1EB}"/>
    <cellStyle name="Hyperlink" xfId="3" builtinId="8"/>
    <cellStyle name="Normal" xfId="0" builtinId="0"/>
    <cellStyle name="Normal 2" xfId="4" xr:uid="{132CDC76-CFA6-4354-ADC5-A6273FD3CB9F}"/>
    <cellStyle name="Normal 2 2" xfId="8" xr:uid="{3E8C8181-CBE3-42E5-BF0C-20EDD26874CF}"/>
    <cellStyle name="Normal 3" xfId="5" xr:uid="{17A9AAA3-0A65-4939-BC64-B0BCBA0795BE}"/>
    <cellStyle name="Normal 3 2" xfId="7" xr:uid="{1E2B6F52-07EF-44B2-B651-FDE2D50A772E}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85725</xdr:rowOff>
    </xdr:from>
    <xdr:to>
      <xdr:col>1</xdr:col>
      <xdr:colOff>1028700</xdr:colOff>
      <xdr:row>2</xdr:row>
      <xdr:rowOff>112568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18C1E-282E-4B9D-8CB8-C47EF911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1438275" cy="407843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1799-CBED-485E-8E79-45AD5DA303EA}">
  <dimension ref="A1:J53"/>
  <sheetViews>
    <sheetView tabSelected="1" topLeftCell="B1" zoomScale="107" zoomScaleNormal="107" workbookViewId="0">
      <selection activeCell="C4" sqref="C4"/>
    </sheetView>
  </sheetViews>
  <sheetFormatPr defaultColWidth="9.36328125" defaultRowHeight="14.5" x14ac:dyDescent="0.35"/>
  <cols>
    <col min="1" max="1" width="8.36328125" customWidth="1"/>
    <col min="2" max="2" width="25.6328125" customWidth="1"/>
    <col min="3" max="3" width="45.6328125" customWidth="1"/>
    <col min="4" max="4" width="16.36328125" style="6" bestFit="1" customWidth="1"/>
    <col min="5" max="5" width="16.36328125" style="6" customWidth="1"/>
    <col min="6" max="6" width="9.453125" style="6" bestFit="1" customWidth="1"/>
    <col min="7" max="7" width="20.81640625" style="3" customWidth="1"/>
    <col min="8" max="8" width="23.6328125" style="3" customWidth="1"/>
    <col min="9" max="9" width="13.36328125" bestFit="1" customWidth="1"/>
    <col min="10" max="10" width="20.36328125" bestFit="1" customWidth="1"/>
  </cols>
  <sheetData>
    <row r="1" spans="1:10" x14ac:dyDescent="0.35">
      <c r="A1" s="77"/>
      <c r="B1" s="77"/>
      <c r="C1" s="77"/>
      <c r="D1" s="78" t="s">
        <v>0</v>
      </c>
      <c r="E1" s="78"/>
      <c r="F1" s="78"/>
      <c r="G1" s="78"/>
      <c r="H1" s="78"/>
    </row>
    <row r="2" spans="1:10" x14ac:dyDescent="0.35">
      <c r="A2" s="77"/>
      <c r="B2" s="77"/>
      <c r="C2" s="77"/>
      <c r="D2" s="78"/>
      <c r="E2" s="78"/>
      <c r="F2" s="78"/>
      <c r="G2" s="78"/>
      <c r="H2" s="78"/>
    </row>
    <row r="3" spans="1:10" x14ac:dyDescent="0.35">
      <c r="A3" s="77"/>
      <c r="B3" s="77"/>
      <c r="C3" s="77"/>
      <c r="D3" s="79" t="s">
        <v>1</v>
      </c>
      <c r="E3" s="79"/>
      <c r="F3" s="79"/>
      <c r="G3" s="79"/>
      <c r="H3" s="79"/>
    </row>
    <row r="4" spans="1:10" x14ac:dyDescent="0.35">
      <c r="A4" s="80" t="s">
        <v>2</v>
      </c>
      <c r="B4" s="80"/>
      <c r="C4" s="16" t="s">
        <v>85</v>
      </c>
      <c r="D4" s="13" t="s">
        <v>3</v>
      </c>
      <c r="E4" s="29"/>
      <c r="F4" s="94" t="s">
        <v>82</v>
      </c>
      <c r="G4" s="95"/>
      <c r="H4" s="95"/>
    </row>
    <row r="5" spans="1:10" x14ac:dyDescent="0.35">
      <c r="A5" s="15" t="s">
        <v>4</v>
      </c>
      <c r="B5" s="5"/>
      <c r="C5" s="17" t="s">
        <v>39</v>
      </c>
      <c r="D5" s="31" t="s">
        <v>5</v>
      </c>
      <c r="E5" s="31"/>
      <c r="F5" s="77" t="s">
        <v>40</v>
      </c>
      <c r="G5" s="77"/>
      <c r="H5" s="77"/>
    </row>
    <row r="6" spans="1:10" ht="66" customHeight="1" x14ac:dyDescent="0.35">
      <c r="A6" s="15" t="s">
        <v>6</v>
      </c>
      <c r="B6" s="18"/>
      <c r="C6" s="83" t="s">
        <v>52</v>
      </c>
      <c r="D6" s="83"/>
      <c r="E6" s="83"/>
      <c r="F6" s="83"/>
      <c r="G6" s="83"/>
      <c r="H6" s="83"/>
      <c r="J6" s="1"/>
    </row>
    <row r="7" spans="1:10" ht="18.75" customHeight="1" x14ac:dyDescent="0.35">
      <c r="A7" s="15" t="s">
        <v>7</v>
      </c>
      <c r="B7" s="18"/>
      <c r="C7" s="84" t="s">
        <v>83</v>
      </c>
      <c r="D7" s="84"/>
      <c r="E7" s="84"/>
      <c r="F7" s="84"/>
      <c r="G7" s="84"/>
      <c r="H7" s="84"/>
    </row>
    <row r="8" spans="1:10" ht="15.75" customHeight="1" x14ac:dyDescent="0.35">
      <c r="A8" s="15" t="s">
        <v>8</v>
      </c>
      <c r="B8" s="19"/>
      <c r="C8" s="85" t="s">
        <v>84</v>
      </c>
      <c r="D8" s="85"/>
      <c r="E8" s="85"/>
      <c r="F8" s="85"/>
      <c r="G8" s="85"/>
      <c r="H8" s="85"/>
    </row>
    <row r="9" spans="1:10" ht="18" customHeight="1" x14ac:dyDescent="0.35">
      <c r="A9" s="15" t="s">
        <v>9</v>
      </c>
      <c r="B9" s="18"/>
      <c r="C9" s="85">
        <v>9834299597</v>
      </c>
      <c r="D9" s="86"/>
      <c r="E9" s="86"/>
      <c r="F9" s="86"/>
      <c r="G9" s="86"/>
      <c r="H9" s="86"/>
    </row>
    <row r="10" spans="1:10" x14ac:dyDescent="0.35">
      <c r="A10" s="15" t="s">
        <v>10</v>
      </c>
      <c r="B10" s="20"/>
      <c r="C10" s="21" t="s">
        <v>42</v>
      </c>
      <c r="D10" s="28" t="s">
        <v>11</v>
      </c>
      <c r="E10" s="90" t="s">
        <v>43</v>
      </c>
      <c r="F10" s="91"/>
      <c r="G10" s="91"/>
      <c r="H10" s="92"/>
    </row>
    <row r="11" spans="1:10" x14ac:dyDescent="0.35">
      <c r="A11" s="15" t="s">
        <v>12</v>
      </c>
      <c r="B11" s="20"/>
      <c r="C11" s="25">
        <v>4530001795</v>
      </c>
      <c r="D11" s="28" t="s">
        <v>13</v>
      </c>
      <c r="E11" s="87" t="s">
        <v>82</v>
      </c>
      <c r="F11" s="88"/>
      <c r="G11" s="89"/>
      <c r="H11" s="7" t="s">
        <v>53</v>
      </c>
    </row>
    <row r="12" spans="1:10" x14ac:dyDescent="0.35">
      <c r="A12" s="82" t="s">
        <v>14</v>
      </c>
      <c r="B12" s="82"/>
      <c r="C12" s="82"/>
      <c r="D12" s="82"/>
      <c r="E12" s="82"/>
      <c r="F12" s="82"/>
      <c r="G12" s="82"/>
      <c r="H12" s="82"/>
    </row>
    <row r="13" spans="1:10" x14ac:dyDescent="0.35">
      <c r="A13" s="81" t="s">
        <v>15</v>
      </c>
      <c r="B13" s="81"/>
      <c r="C13" s="81"/>
      <c r="D13" s="82" t="s">
        <v>16</v>
      </c>
      <c r="E13" s="82"/>
      <c r="F13" s="82"/>
      <c r="G13" s="82"/>
      <c r="H13" s="82"/>
    </row>
    <row r="14" spans="1:10" x14ac:dyDescent="0.35">
      <c r="A14" s="93" t="s">
        <v>17</v>
      </c>
      <c r="B14" s="93"/>
      <c r="C14" s="93"/>
      <c r="D14" s="73" t="s">
        <v>55</v>
      </c>
      <c r="E14" s="73"/>
      <c r="F14" s="73"/>
      <c r="G14" s="73"/>
      <c r="H14" s="73"/>
    </row>
    <row r="15" spans="1:10" x14ac:dyDescent="0.35">
      <c r="A15" s="93" t="s">
        <v>18</v>
      </c>
      <c r="B15" s="93"/>
      <c r="C15" s="93"/>
      <c r="D15" s="73" t="s">
        <v>19</v>
      </c>
      <c r="E15" s="73"/>
      <c r="F15" s="73"/>
      <c r="G15" s="73"/>
      <c r="H15" s="73"/>
    </row>
    <row r="16" spans="1:10" x14ac:dyDescent="0.35">
      <c r="A16" s="93" t="s">
        <v>20</v>
      </c>
      <c r="B16" s="93"/>
      <c r="C16" s="93"/>
      <c r="D16" s="73" t="s">
        <v>19</v>
      </c>
      <c r="E16" s="73"/>
      <c r="F16" s="73"/>
      <c r="G16" s="73"/>
      <c r="H16" s="73"/>
    </row>
    <row r="17" spans="1:10" ht="15.5" customHeight="1" x14ac:dyDescent="0.35">
      <c r="A17" s="96" t="s">
        <v>21</v>
      </c>
      <c r="B17" s="96"/>
      <c r="C17" s="96"/>
      <c r="D17" s="80" t="s">
        <v>44</v>
      </c>
      <c r="E17" s="80"/>
      <c r="F17" s="80"/>
      <c r="G17" s="80"/>
      <c r="H17" s="80"/>
    </row>
    <row r="18" spans="1:10" x14ac:dyDescent="0.35">
      <c r="A18" s="93" t="s">
        <v>22</v>
      </c>
      <c r="B18" s="93"/>
      <c r="C18" s="93"/>
      <c r="D18" s="96" t="s">
        <v>45</v>
      </c>
      <c r="E18" s="96"/>
      <c r="F18" s="96"/>
      <c r="G18" s="96"/>
      <c r="H18" s="96"/>
    </row>
    <row r="19" spans="1:10" x14ac:dyDescent="0.35">
      <c r="A19" s="93" t="s">
        <v>23</v>
      </c>
      <c r="B19" s="93"/>
      <c r="C19" s="93"/>
      <c r="D19" s="97">
        <v>46112</v>
      </c>
      <c r="E19" s="98"/>
      <c r="F19" s="98"/>
      <c r="G19" s="98"/>
      <c r="H19" s="98"/>
    </row>
    <row r="20" spans="1:10" ht="45" customHeight="1" x14ac:dyDescent="0.35">
      <c r="A20" s="93" t="s">
        <v>24</v>
      </c>
      <c r="B20" s="93"/>
      <c r="C20" s="93"/>
      <c r="D20" s="99" t="s">
        <v>54</v>
      </c>
      <c r="E20" s="99"/>
      <c r="F20" s="99"/>
      <c r="G20" s="99"/>
      <c r="H20" s="99"/>
      <c r="J20" s="1"/>
    </row>
    <row r="21" spans="1:10" ht="16.5" customHeight="1" x14ac:dyDescent="0.35">
      <c r="A21" s="93" t="s">
        <v>25</v>
      </c>
      <c r="B21" s="93"/>
      <c r="C21" s="93"/>
      <c r="D21" s="96" t="s">
        <v>46</v>
      </c>
      <c r="E21" s="96"/>
      <c r="F21" s="96"/>
      <c r="G21" s="96"/>
      <c r="H21" s="96"/>
    </row>
    <row r="22" spans="1:10" x14ac:dyDescent="0.35">
      <c r="A22" s="93" t="s">
        <v>26</v>
      </c>
      <c r="B22" s="93"/>
      <c r="C22" s="93"/>
      <c r="D22" s="73" t="s">
        <v>51</v>
      </c>
      <c r="E22" s="73"/>
      <c r="F22" s="73"/>
      <c r="G22" s="73"/>
      <c r="H22" s="73"/>
    </row>
    <row r="23" spans="1:10" x14ac:dyDescent="0.35">
      <c r="A23" s="93" t="s">
        <v>27</v>
      </c>
      <c r="B23" s="93"/>
      <c r="C23" s="93"/>
      <c r="D23" s="100" t="s">
        <v>86</v>
      </c>
      <c r="E23" s="100"/>
      <c r="F23" s="100"/>
      <c r="G23" s="100"/>
      <c r="H23" s="100"/>
    </row>
    <row r="24" spans="1:10" x14ac:dyDescent="0.35">
      <c r="A24" s="93" t="s">
        <v>28</v>
      </c>
      <c r="B24" s="93"/>
      <c r="C24" s="93"/>
      <c r="D24" s="102" t="s">
        <v>47</v>
      </c>
      <c r="E24" s="102"/>
      <c r="F24" s="102"/>
      <c r="G24" s="102"/>
      <c r="H24" s="102"/>
    </row>
    <row r="25" spans="1:10" x14ac:dyDescent="0.35">
      <c r="A25" s="73" t="s">
        <v>56</v>
      </c>
      <c r="B25" s="73"/>
      <c r="C25" s="73"/>
      <c r="D25" s="74" t="s">
        <v>69</v>
      </c>
      <c r="E25" s="75"/>
      <c r="F25" s="75"/>
      <c r="G25" s="75"/>
      <c r="H25" s="76"/>
    </row>
    <row r="26" spans="1:10" x14ac:dyDescent="0.35">
      <c r="A26" s="73" t="s">
        <v>57</v>
      </c>
      <c r="B26" s="73"/>
      <c r="C26" s="73"/>
      <c r="D26" s="74" t="s">
        <v>87</v>
      </c>
      <c r="E26" s="75"/>
      <c r="F26" s="75"/>
      <c r="G26" s="75"/>
      <c r="H26" s="76"/>
    </row>
    <row r="27" spans="1:10" x14ac:dyDescent="0.35">
      <c r="A27" s="73" t="s">
        <v>58</v>
      </c>
      <c r="B27" s="73"/>
      <c r="C27" s="73"/>
      <c r="D27" s="74">
        <v>1000</v>
      </c>
      <c r="E27" s="75"/>
      <c r="F27" s="75"/>
      <c r="G27" s="75"/>
      <c r="H27" s="76"/>
    </row>
    <row r="28" spans="1:10" x14ac:dyDescent="0.35">
      <c r="A28" s="73" t="s">
        <v>59</v>
      </c>
      <c r="B28" s="73"/>
      <c r="C28" s="73"/>
      <c r="D28" s="74" t="s">
        <v>70</v>
      </c>
      <c r="E28" s="75"/>
      <c r="F28" s="75"/>
      <c r="G28" s="75"/>
      <c r="H28" s="76"/>
    </row>
    <row r="29" spans="1:10" ht="16.5" customHeight="1" x14ac:dyDescent="0.35">
      <c r="A29" s="73" t="s">
        <v>29</v>
      </c>
      <c r="B29" s="73"/>
      <c r="C29" s="73"/>
      <c r="D29" s="96" t="s">
        <v>48</v>
      </c>
      <c r="E29" s="96"/>
      <c r="F29" s="96"/>
      <c r="G29" s="96"/>
      <c r="H29" s="96"/>
    </row>
    <row r="30" spans="1:10" ht="30" hidden="1" customHeight="1" x14ac:dyDescent="0.35">
      <c r="A30" s="73"/>
      <c r="B30" s="73"/>
      <c r="C30" s="73"/>
      <c r="D30" s="96"/>
      <c r="E30" s="96"/>
      <c r="F30" s="96"/>
      <c r="G30" s="96"/>
      <c r="H30" s="96"/>
    </row>
    <row r="31" spans="1:10" x14ac:dyDescent="0.35">
      <c r="A31" s="81" t="s">
        <v>30</v>
      </c>
      <c r="B31" s="81"/>
      <c r="C31" s="81"/>
      <c r="D31" s="13"/>
      <c r="E31" s="13"/>
      <c r="F31" s="13"/>
      <c r="G31" s="8"/>
      <c r="H31" s="8"/>
    </row>
    <row r="32" spans="1:10" s="1" customFormat="1" ht="29" x14ac:dyDescent="0.35">
      <c r="A32" s="2" t="s">
        <v>31</v>
      </c>
      <c r="B32" s="105" t="s">
        <v>32</v>
      </c>
      <c r="C32" s="105"/>
      <c r="D32" s="2" t="s">
        <v>77</v>
      </c>
      <c r="E32" s="2" t="s">
        <v>49</v>
      </c>
      <c r="F32" s="2" t="s">
        <v>33</v>
      </c>
      <c r="G32" s="4" t="s">
        <v>34</v>
      </c>
      <c r="H32" s="4" t="s">
        <v>41</v>
      </c>
    </row>
    <row r="33" spans="1:9" s="1" customFormat="1" x14ac:dyDescent="0.35">
      <c r="A33" s="14">
        <v>1</v>
      </c>
      <c r="B33" s="72" t="s">
        <v>88</v>
      </c>
      <c r="C33" s="72"/>
      <c r="D33" s="13" t="s">
        <v>71</v>
      </c>
      <c r="E33" s="13">
        <v>85439000</v>
      </c>
      <c r="F33" s="14">
        <v>15</v>
      </c>
      <c r="G33" s="27">
        <v>12250</v>
      </c>
      <c r="H33" s="27">
        <f>F33*G33</f>
        <v>183750</v>
      </c>
    </row>
    <row r="34" spans="1:9" s="1" customFormat="1" ht="15" customHeight="1" x14ac:dyDescent="0.35">
      <c r="A34" s="14">
        <v>2</v>
      </c>
      <c r="B34" s="72" t="s">
        <v>89</v>
      </c>
      <c r="C34" s="72"/>
      <c r="D34" s="13" t="s">
        <v>72</v>
      </c>
      <c r="E34" s="14">
        <v>85439000</v>
      </c>
      <c r="F34" s="14">
        <v>5</v>
      </c>
      <c r="G34" s="27">
        <v>11000</v>
      </c>
      <c r="H34" s="27">
        <f t="shared" ref="H34:H44" si="0">F34*G34</f>
        <v>55000</v>
      </c>
    </row>
    <row r="35" spans="1:9" s="1" customFormat="1" x14ac:dyDescent="0.35">
      <c r="A35" s="14">
        <v>3</v>
      </c>
      <c r="B35" s="72" t="s">
        <v>92</v>
      </c>
      <c r="C35" s="72"/>
      <c r="D35" s="13" t="s">
        <v>80</v>
      </c>
      <c r="E35" s="13">
        <v>85219090</v>
      </c>
      <c r="F35" s="14">
        <v>5</v>
      </c>
      <c r="G35" s="27">
        <v>64900</v>
      </c>
      <c r="H35" s="27">
        <f t="shared" si="0"/>
        <v>324500</v>
      </c>
    </row>
    <row r="36" spans="1:9" s="1" customFormat="1" x14ac:dyDescent="0.35">
      <c r="A36" s="14">
        <v>4</v>
      </c>
      <c r="B36" s="72" t="s">
        <v>60</v>
      </c>
      <c r="C36" s="72"/>
      <c r="D36" s="13" t="s">
        <v>73</v>
      </c>
      <c r="E36" s="13">
        <v>85439000</v>
      </c>
      <c r="F36" s="14">
        <v>5</v>
      </c>
      <c r="G36" s="27">
        <v>12500</v>
      </c>
      <c r="H36" s="27">
        <f t="shared" si="0"/>
        <v>62500</v>
      </c>
    </row>
    <row r="37" spans="1:9" s="1" customFormat="1" x14ac:dyDescent="0.35">
      <c r="A37" s="14">
        <v>5</v>
      </c>
      <c r="B37" s="72" t="s">
        <v>74</v>
      </c>
      <c r="C37" s="72"/>
      <c r="D37" s="13" t="s">
        <v>81</v>
      </c>
      <c r="E37" s="13">
        <v>85258090</v>
      </c>
      <c r="F37" s="14">
        <v>20</v>
      </c>
      <c r="G37" s="27">
        <v>5500</v>
      </c>
      <c r="H37" s="27">
        <f t="shared" si="0"/>
        <v>110000</v>
      </c>
    </row>
    <row r="38" spans="1:9" s="1" customFormat="1" x14ac:dyDescent="0.35">
      <c r="A38" s="14">
        <v>6</v>
      </c>
      <c r="B38" s="72" t="s">
        <v>61</v>
      </c>
      <c r="C38" s="72"/>
      <c r="D38" s="13" t="s">
        <v>62</v>
      </c>
      <c r="E38" s="13">
        <v>85439000</v>
      </c>
      <c r="F38" s="14">
        <v>5</v>
      </c>
      <c r="G38" s="27">
        <v>2200</v>
      </c>
      <c r="H38" s="27">
        <f t="shared" si="0"/>
        <v>11000</v>
      </c>
    </row>
    <row r="39" spans="1:9" s="1" customFormat="1" x14ac:dyDescent="0.35">
      <c r="A39" s="14">
        <v>7</v>
      </c>
      <c r="B39" s="72" t="s">
        <v>75</v>
      </c>
      <c r="C39" s="72"/>
      <c r="D39" s="14" t="s">
        <v>63</v>
      </c>
      <c r="E39" s="14">
        <v>85439000</v>
      </c>
      <c r="F39" s="14">
        <v>20</v>
      </c>
      <c r="G39" s="27">
        <v>200</v>
      </c>
      <c r="H39" s="27">
        <f t="shared" si="0"/>
        <v>4000</v>
      </c>
    </row>
    <row r="40" spans="1:9" s="1" customFormat="1" x14ac:dyDescent="0.35">
      <c r="A40" s="14">
        <v>8</v>
      </c>
      <c r="B40" s="72" t="s">
        <v>64</v>
      </c>
      <c r="C40" s="72"/>
      <c r="D40" s="14" t="s">
        <v>65</v>
      </c>
      <c r="E40" s="14">
        <v>85439000</v>
      </c>
      <c r="F40" s="14">
        <v>5</v>
      </c>
      <c r="G40" s="27">
        <v>1400</v>
      </c>
      <c r="H40" s="27">
        <f t="shared" si="0"/>
        <v>7000</v>
      </c>
    </row>
    <row r="41" spans="1:9" s="1" customFormat="1" x14ac:dyDescent="0.35">
      <c r="A41" s="14">
        <v>9</v>
      </c>
      <c r="B41" s="72" t="s">
        <v>90</v>
      </c>
      <c r="C41" s="72"/>
      <c r="D41" s="13" t="s">
        <v>76</v>
      </c>
      <c r="E41" s="14">
        <v>85439000</v>
      </c>
      <c r="F41" s="14">
        <v>5</v>
      </c>
      <c r="G41" s="27">
        <v>19150</v>
      </c>
      <c r="H41" s="27">
        <f t="shared" si="0"/>
        <v>95750</v>
      </c>
    </row>
    <row r="42" spans="1:9" s="1" customFormat="1" x14ac:dyDescent="0.35">
      <c r="A42" s="14">
        <v>10</v>
      </c>
      <c r="B42" s="72" t="s">
        <v>91</v>
      </c>
      <c r="C42" s="72"/>
      <c r="D42" s="13" t="s">
        <v>78</v>
      </c>
      <c r="E42" s="14">
        <v>85439000</v>
      </c>
      <c r="F42" s="14">
        <v>5</v>
      </c>
      <c r="G42" s="27">
        <v>19150</v>
      </c>
      <c r="H42" s="27">
        <f t="shared" si="0"/>
        <v>95750</v>
      </c>
    </row>
    <row r="43" spans="1:9" s="1" customFormat="1" x14ac:dyDescent="0.35">
      <c r="A43" s="14">
        <v>11</v>
      </c>
      <c r="B43" s="72" t="s">
        <v>66</v>
      </c>
      <c r="C43" s="72"/>
      <c r="D43" s="14" t="s">
        <v>67</v>
      </c>
      <c r="E43" s="14">
        <v>85439000</v>
      </c>
      <c r="F43" s="14">
        <v>5</v>
      </c>
      <c r="G43" s="27">
        <v>600</v>
      </c>
      <c r="H43" s="27">
        <f t="shared" si="0"/>
        <v>3000</v>
      </c>
    </row>
    <row r="44" spans="1:9" s="1" customFormat="1" x14ac:dyDescent="0.35">
      <c r="A44" s="14">
        <v>12</v>
      </c>
      <c r="B44" s="72" t="s">
        <v>79</v>
      </c>
      <c r="C44" s="72"/>
      <c r="D44" s="13" t="s">
        <v>68</v>
      </c>
      <c r="E44" s="14">
        <v>85439000</v>
      </c>
      <c r="F44" s="14">
        <v>5</v>
      </c>
      <c r="G44" s="27">
        <v>1450</v>
      </c>
      <c r="H44" s="27">
        <f t="shared" si="0"/>
        <v>7250</v>
      </c>
    </row>
    <row r="45" spans="1:9" s="1" customFormat="1" x14ac:dyDescent="0.35">
      <c r="A45" s="14"/>
      <c r="B45" s="101" t="s">
        <v>41</v>
      </c>
      <c r="C45" s="101"/>
      <c r="D45" s="2"/>
      <c r="E45" s="2"/>
      <c r="F45" s="24"/>
      <c r="G45" s="30"/>
      <c r="H45" s="27">
        <f>SUM(H33:H44)</f>
        <v>959500</v>
      </c>
    </row>
    <row r="46" spans="1:9" x14ac:dyDescent="0.35">
      <c r="A46" s="9"/>
      <c r="B46" s="104" t="s">
        <v>35</v>
      </c>
      <c r="C46" s="104"/>
      <c r="D46" s="110" t="s">
        <v>36</v>
      </c>
      <c r="E46" s="108"/>
      <c r="F46" s="108"/>
      <c r="G46" s="108"/>
      <c r="H46" s="26"/>
      <c r="I46" s="10"/>
    </row>
    <row r="47" spans="1:9" x14ac:dyDescent="0.35">
      <c r="A47" s="9"/>
      <c r="B47" s="104" t="s">
        <v>37</v>
      </c>
      <c r="C47" s="104"/>
      <c r="D47" s="110" t="s">
        <v>36</v>
      </c>
      <c r="E47" s="108"/>
      <c r="F47" s="108"/>
      <c r="G47" s="109"/>
      <c r="H47" s="9"/>
    </row>
    <row r="48" spans="1:9" x14ac:dyDescent="0.35">
      <c r="A48" s="9"/>
      <c r="B48" s="104" t="s">
        <v>50</v>
      </c>
      <c r="C48" s="104"/>
      <c r="D48" s="106">
        <v>0.18</v>
      </c>
      <c r="E48" s="107"/>
      <c r="F48" s="108"/>
      <c r="G48" s="109"/>
      <c r="H48" s="22">
        <f>H45*18%</f>
        <v>172710</v>
      </c>
      <c r="I48" s="10"/>
    </row>
    <row r="49" spans="1:8" x14ac:dyDescent="0.35">
      <c r="A49" s="9"/>
      <c r="B49" s="103" t="s">
        <v>38</v>
      </c>
      <c r="C49" s="103"/>
      <c r="D49" s="110"/>
      <c r="E49" s="108"/>
      <c r="F49" s="108"/>
      <c r="G49" s="109"/>
      <c r="H49" s="23">
        <f>H45+H48</f>
        <v>1132210</v>
      </c>
    </row>
    <row r="52" spans="1:8" x14ac:dyDescent="0.35">
      <c r="C52" s="12"/>
      <c r="F52"/>
      <c r="G52"/>
      <c r="H52"/>
    </row>
    <row r="53" spans="1:8" x14ac:dyDescent="0.35">
      <c r="C53" s="11"/>
      <c r="F53"/>
      <c r="G53"/>
      <c r="H53"/>
    </row>
  </sheetData>
  <mergeCells count="70">
    <mergeCell ref="B45:C45"/>
    <mergeCell ref="A24:C24"/>
    <mergeCell ref="D24:H24"/>
    <mergeCell ref="B49:C49"/>
    <mergeCell ref="B46:C46"/>
    <mergeCell ref="B47:C47"/>
    <mergeCell ref="B48:C48"/>
    <mergeCell ref="B32:C32"/>
    <mergeCell ref="A31:C31"/>
    <mergeCell ref="D48:G48"/>
    <mergeCell ref="A29:C30"/>
    <mergeCell ref="D46:G46"/>
    <mergeCell ref="D47:G47"/>
    <mergeCell ref="D49:G49"/>
    <mergeCell ref="A25:C25"/>
    <mergeCell ref="A26:C26"/>
    <mergeCell ref="A21:C21"/>
    <mergeCell ref="D21:H21"/>
    <mergeCell ref="A22:C22"/>
    <mergeCell ref="D22:H22"/>
    <mergeCell ref="A23:C23"/>
    <mergeCell ref="D23:H23"/>
    <mergeCell ref="A14:C14"/>
    <mergeCell ref="D14:H14"/>
    <mergeCell ref="F4:H4"/>
    <mergeCell ref="D29:H30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1:C3"/>
    <mergeCell ref="D1:H2"/>
    <mergeCell ref="D3:H3"/>
    <mergeCell ref="A4:B4"/>
    <mergeCell ref="A13:C13"/>
    <mergeCell ref="D13:H13"/>
    <mergeCell ref="F5:H5"/>
    <mergeCell ref="C6:H6"/>
    <mergeCell ref="C7:H7"/>
    <mergeCell ref="C8:H8"/>
    <mergeCell ref="C9:H9"/>
    <mergeCell ref="A12:H12"/>
    <mergeCell ref="E11:G11"/>
    <mergeCell ref="E10:H10"/>
    <mergeCell ref="A28:C28"/>
    <mergeCell ref="D25:H25"/>
    <mergeCell ref="D26:H26"/>
    <mergeCell ref="D27:H27"/>
    <mergeCell ref="D28:H28"/>
    <mergeCell ref="A27:C27"/>
    <mergeCell ref="B44:C44"/>
    <mergeCell ref="B36:C36"/>
    <mergeCell ref="B37:C37"/>
    <mergeCell ref="B38:C38"/>
    <mergeCell ref="B42:C42"/>
    <mergeCell ref="B33:C33"/>
    <mergeCell ref="B34:C34"/>
    <mergeCell ref="B35:C35"/>
    <mergeCell ref="B43:C43"/>
    <mergeCell ref="B39:C39"/>
    <mergeCell ref="B40:C40"/>
    <mergeCell ref="B41:C4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FE1D-0A2E-6840-BEE7-8B7C996DD3AB}">
  <dimension ref="A1:I9"/>
  <sheetViews>
    <sheetView workbookViewId="0">
      <selection activeCell="I8" sqref="I8"/>
    </sheetView>
  </sheetViews>
  <sheetFormatPr defaultColWidth="10.90625" defaultRowHeight="14.5" x14ac:dyDescent="0.35"/>
  <cols>
    <col min="2" max="2" width="27.81640625" customWidth="1"/>
    <col min="4" max="4" width="11" bestFit="1" customWidth="1"/>
    <col min="5" max="5" width="11.6328125" bestFit="1" customWidth="1"/>
  </cols>
  <sheetData>
    <row r="1" spans="1:9" ht="15" thickBot="1" x14ac:dyDescent="0.4"/>
    <row r="2" spans="1:9" x14ac:dyDescent="0.35">
      <c r="A2" s="65" t="s">
        <v>93</v>
      </c>
      <c r="B2" s="66" t="s">
        <v>101</v>
      </c>
      <c r="C2" s="67"/>
      <c r="D2" s="67"/>
      <c r="E2" s="68"/>
      <c r="F2" s="69" t="s">
        <v>106</v>
      </c>
      <c r="G2" s="70"/>
      <c r="H2" s="70"/>
      <c r="I2" s="71"/>
    </row>
    <row r="3" spans="1:9" s="32" customFormat="1" x14ac:dyDescent="0.35">
      <c r="A3" s="33"/>
      <c r="B3" s="36" t="s">
        <v>100</v>
      </c>
      <c r="C3" s="37" t="s">
        <v>95</v>
      </c>
      <c r="D3" s="37" t="s">
        <v>96</v>
      </c>
      <c r="E3" s="38" t="s">
        <v>97</v>
      </c>
      <c r="F3" s="47" t="s">
        <v>102</v>
      </c>
      <c r="G3" s="48" t="s">
        <v>103</v>
      </c>
      <c r="H3" s="48" t="s">
        <v>104</v>
      </c>
      <c r="I3" s="49" t="s">
        <v>105</v>
      </c>
    </row>
    <row r="4" spans="1:9" x14ac:dyDescent="0.35">
      <c r="A4" s="34">
        <v>1</v>
      </c>
      <c r="B4" s="39" t="s">
        <v>94</v>
      </c>
      <c r="C4" s="40">
        <v>2</v>
      </c>
      <c r="D4" s="41">
        <v>50000</v>
      </c>
      <c r="E4" s="42">
        <f>D4*C4</f>
        <v>100000</v>
      </c>
      <c r="F4" s="50">
        <v>40000</v>
      </c>
      <c r="G4" s="51">
        <f>F4*C4</f>
        <v>80000</v>
      </c>
      <c r="H4" s="55">
        <f>(E4-G4)</f>
        <v>20000</v>
      </c>
      <c r="I4" s="56">
        <f>H4/E4</f>
        <v>0.2</v>
      </c>
    </row>
    <row r="5" spans="1:9" x14ac:dyDescent="0.35">
      <c r="A5" s="34">
        <v>2</v>
      </c>
      <c r="B5" s="39" t="s">
        <v>98</v>
      </c>
      <c r="C5" s="40">
        <v>2</v>
      </c>
      <c r="D5" s="41">
        <v>12500</v>
      </c>
      <c r="E5" s="42">
        <f>D5*C5</f>
        <v>25000</v>
      </c>
      <c r="F5" s="50">
        <v>10000</v>
      </c>
      <c r="G5" s="51">
        <f>F5*C5</f>
        <v>20000</v>
      </c>
      <c r="H5" s="55">
        <f>(E5-G5)</f>
        <v>5000</v>
      </c>
      <c r="I5" s="56">
        <f>H5/E5</f>
        <v>0.2</v>
      </c>
    </row>
    <row r="6" spans="1:9" x14ac:dyDescent="0.35">
      <c r="A6" s="34"/>
      <c r="B6" s="39"/>
      <c r="C6" s="40"/>
      <c r="D6" s="41"/>
      <c r="E6" s="42"/>
      <c r="F6" s="50"/>
      <c r="G6" s="51"/>
      <c r="H6" s="51"/>
      <c r="I6" s="56"/>
    </row>
    <row r="7" spans="1:9" s="64" customFormat="1" x14ac:dyDescent="0.35">
      <c r="A7" s="57"/>
      <c r="B7" s="58" t="s">
        <v>99</v>
      </c>
      <c r="C7" s="59">
        <v>2</v>
      </c>
      <c r="D7" s="60">
        <f>SUM(D4:D6)</f>
        <v>62500</v>
      </c>
      <c r="E7" s="61">
        <f>SUM(E4:E6)</f>
        <v>125000</v>
      </c>
      <c r="F7" s="62">
        <f>SUM(F4:F6)</f>
        <v>50000</v>
      </c>
      <c r="G7" s="62">
        <f>SUM(G4:G6)</f>
        <v>100000</v>
      </c>
      <c r="H7" s="62">
        <f>SUM(H4:H6)</f>
        <v>25000</v>
      </c>
      <c r="I7" s="63">
        <f>H7/E7</f>
        <v>0.2</v>
      </c>
    </row>
    <row r="8" spans="1:9" x14ac:dyDescent="0.35">
      <c r="A8" s="34"/>
      <c r="B8" s="39"/>
      <c r="C8" s="40"/>
      <c r="D8" s="40"/>
      <c r="E8" s="43"/>
      <c r="F8" s="50"/>
      <c r="G8" s="51"/>
      <c r="H8" s="51"/>
      <c r="I8" s="56"/>
    </row>
    <row r="9" spans="1:9" ht="15" thickBot="1" x14ac:dyDescent="0.4">
      <c r="A9" s="35"/>
      <c r="B9" s="44"/>
      <c r="C9" s="45"/>
      <c r="D9" s="45"/>
      <c r="E9" s="46"/>
      <c r="F9" s="52"/>
      <c r="G9" s="53"/>
      <c r="H9" s="53"/>
      <c r="I9" s="54"/>
    </row>
  </sheetData>
  <mergeCells count="2">
    <mergeCell ref="B2:E2"/>
    <mergeCell ref="F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db65a-155f-491d-8728-b11b531e47a9">
      <Terms xmlns="http://schemas.microsoft.com/office/infopath/2007/PartnerControls"/>
    </lcf76f155ced4ddcb4097134ff3c332f>
    <TaxCatchAll xmlns="e357c304-2680-45a7-8292-878ec53b2b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F4CC3673E8704C8A57BE649B12C016" ma:contentTypeVersion="18" ma:contentTypeDescription="Create a new document." ma:contentTypeScope="" ma:versionID="6a8a292bc9dc6bb61c1dbf6e93f42697">
  <xsd:schema xmlns:xsd="http://www.w3.org/2001/XMLSchema" xmlns:xs="http://www.w3.org/2001/XMLSchema" xmlns:p="http://schemas.microsoft.com/office/2006/metadata/properties" xmlns:ns2="e357c304-2680-45a7-8292-878ec53b2b0b" xmlns:ns3="d2cdb65a-155f-491d-8728-b11b531e47a9" targetNamespace="http://schemas.microsoft.com/office/2006/metadata/properties" ma:root="true" ma:fieldsID="8057dd52b2fcd77c0c28559406db9540" ns2:_="" ns3:_="">
    <xsd:import namespace="e357c304-2680-45a7-8292-878ec53b2b0b"/>
    <xsd:import namespace="d2cdb65a-155f-491d-8728-b11b531e47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7c304-2680-45a7-8292-878ec53b2b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7e403ab-c83b-4280-9107-226e78e2d4c6}" ma:internalName="TaxCatchAll" ma:showField="CatchAllData" ma:web="e357c304-2680-45a7-8292-878ec53b2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db65a-155f-491d-8728-b11b531e4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6fbdde-2cd0-4eae-9f6d-69100bb7e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D8F00C-1307-460E-865E-FB2C1431A3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A659C3-ECF3-4534-8B77-271C683EA613}">
  <ds:schemaRefs>
    <ds:schemaRef ds:uri="http://schemas.microsoft.com/office/2006/metadata/properties"/>
    <ds:schemaRef ds:uri="http://schemas.microsoft.com/office/infopath/2007/PartnerControls"/>
    <ds:schemaRef ds:uri="d2cdb65a-155f-491d-8728-b11b531e47a9"/>
    <ds:schemaRef ds:uri="e357c304-2680-45a7-8292-878ec53b2b0b"/>
  </ds:schemaRefs>
</ds:datastoreItem>
</file>

<file path=customXml/itemProps3.xml><?xml version="1.0" encoding="utf-8"?>
<ds:datastoreItem xmlns:ds="http://schemas.openxmlformats.org/officeDocument/2006/customXml" ds:itemID="{C7E2C120-EA35-4D84-BB8B-A35804EBE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7c304-2680-45a7-8292-878ec53b2b0b"/>
    <ds:schemaRef ds:uri="d2cdb65a-155f-491d-8728-b11b531e4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Eka_12M Citea seater PH II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</dc:creator>
  <cp:keywords/>
  <dc:description/>
  <cp:lastModifiedBy>Prajwal Nikam</cp:lastModifiedBy>
  <cp:revision/>
  <dcterms:created xsi:type="dcterms:W3CDTF">2016-03-26T08:05:34Z</dcterms:created>
  <dcterms:modified xsi:type="dcterms:W3CDTF">2026-03-17T05:37:29Z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0x010100A9F4CC3673E8704C8A57BE649B12C016</vt:lpwstr>
  </property>
  <property fmtid="{D5CDD505-2E9C-101B-9397-08002B2CF9AE}" pid="3" name="MediaServiceImageTags">
    <vt:lpwstr/>
  </property>
</Properties>
</file>